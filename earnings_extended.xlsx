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Summary" sheetId="1" state="visible" r:id="rId3"/>
    <sheet name="Weekly Detail" sheetId="2" state="visible" r:id="rId4"/>
    <sheet name="Dividend Schedu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<sst xmlns="http://schemas.openxmlformats.org/spreadsheetml/2006/main" count="577" uniqueCount="230">
  <si>
    <t xml:space="preserve">Tiberian Equities | GEX  —  Earnings Report</t>
  </si>
  <si>
    <t xml:space="preserve">Actual  (Apr 2024 – Jun 2026)</t>
  </si>
  <si>
    <t xml:space="preserve">■ Green = Actual recorded data</t>
  </si>
  <si>
    <t xml:space="preserve">Period</t>
  </si>
  <si>
    <t xml:space="preserve">Total Revenue</t>
  </si>
  <si>
    <t xml:space="preserve">Total Profit</t>
  </si>
  <si>
    <t xml:space="preserve">Margin %</t>
  </si>
  <si>
    <t xml:space="preserve">Dividend Est.</t>
  </si>
  <si>
    <t xml:space="preserve">Notes</t>
  </si>
  <si>
    <t xml:space="preserve">Type</t>
  </si>
  <si>
    <t xml:space="preserve">Apr 2024</t>
  </si>
  <si>
    <t xml:space="preserve">Early operations</t>
  </si>
  <si>
    <t xml:space="preserve">Actual</t>
  </si>
  <si>
    <t xml:space="preserve">May 2024</t>
  </si>
  <si>
    <t xml:space="preserve">Lower revenue month</t>
  </si>
  <si>
    <t xml:space="preserve">Jun 2024</t>
  </si>
  <si>
    <t xml:space="preserve">Strong XP/brews sales</t>
  </si>
  <si>
    <t xml:space="preserve">Jul 2024</t>
  </si>
  <si>
    <t xml:space="preserve">Aug 2024</t>
  </si>
  <si>
    <t xml:space="preserve">Peak summer period</t>
  </si>
  <si>
    <t xml:space="preserve">Sep 2024</t>
  </si>
  <si>
    <t xml:space="preserve">All-time revenue high</t>
  </si>
  <si>
    <t xml:space="preserve">Oct 2024</t>
  </si>
  <si>
    <t xml:space="preserve">Market correction</t>
  </si>
  <si>
    <t xml:space="preserve">Nov 2024</t>
  </si>
  <si>
    <t xml:space="preserve">Dec 2024</t>
  </si>
  <si>
    <t xml:space="preserve">Jan 2025</t>
  </si>
  <si>
    <t xml:space="preserve">Last fully documented month</t>
  </si>
  <si>
    <t xml:space="preserve">Feb 2025</t>
  </si>
  <si>
    <t xml:space="preserve">Transition; pre-formal structure</t>
  </si>
  <si>
    <t xml:space="preserve">Mar 2025</t>
  </si>
  <si>
    <t xml:space="preserve">Company formally launched Mar 12; Wk1=200k Wk2=500k Wk3=590k</t>
  </si>
  <si>
    <t xml:space="preserve">Apr 2025</t>
  </si>
  <si>
    <t xml:space="preserve">Confirmed wk4=685k, wk3=590k; ~635k/wk avg</t>
  </si>
  <si>
    <t xml:space="preserve">May 2025</t>
  </si>
  <si>
    <t xml:space="preserve">Confirmed dividend 200k — Crimson Banking</t>
  </si>
  <si>
    <t xml:space="preserve">Jun 2025</t>
  </si>
  <si>
    <t xml:space="preserve">Revenue dip from Allmart/Goldmart acquisition costs</t>
  </si>
  <si>
    <t xml:space="preserve">Jul 2025</t>
  </si>
  <si>
    <t xml:space="preserve">Allmart starts contributing; 30% Goldmart profit share added</t>
  </si>
  <si>
    <t xml:space="preserve">Aug 2025</t>
  </si>
  <si>
    <t xml:space="preserve">Server downtime ~20-25% revenue loss</t>
  </si>
  <si>
    <t xml:space="preserve">Sep 2025</t>
  </si>
  <si>
    <t xml:space="preserve">Full recovery; 1M deposited to Crimson account</t>
  </si>
  <si>
    <t xml:space="preserve">Oct 2025</t>
  </si>
  <si>
    <t xml:space="preserve">Strong expansion: new factories + multiple markets</t>
  </si>
  <si>
    <t xml:space="preserve">Nov 2025</t>
  </si>
  <si>
    <t xml:space="preserve">Parasunt City factories under construction; Greyhames relocation planned</t>
  </si>
  <si>
    <t xml:space="preserve">Dec 2025</t>
  </si>
  <si>
    <t xml:space="preserve">Year-end pullback; major restructuring underway</t>
  </si>
  <si>
    <t xml:space="preserve">Jan 2026</t>
  </si>
  <si>
    <t xml:space="preserve">Dividend 280k confirmed (Jan 22); balance withdrawal 1.3M</t>
  </si>
  <si>
    <t xml:space="preserve">Feb 2026</t>
  </si>
  <si>
    <t xml:space="preserve">Mar 2026</t>
  </si>
  <si>
    <t xml:space="preserve">Apr 2026</t>
  </si>
  <si>
    <t xml:space="preserve">May 2026</t>
  </si>
  <si>
    <t xml:space="preserve">Actual close — Crimson Banking</t>
  </si>
  <si>
    <t xml:space="preserve">Jun 2026</t>
  </si>
  <si>
    <t xml:space="preserve">Actual close — tracked to Jun 22 (2.5M/1.5M) + final week; figures per Vaicos</t>
  </si>
  <si>
    <t xml:space="preserve">AVG  —  Actual</t>
  </si>
  <si>
    <t xml:space="preserve">AVG  —  Projected</t>
  </si>
  <si>
    <t xml:space="preserve">GRAND  TOTAL</t>
  </si>
  <si>
    <t xml:space="preserve">Weekly Revenue Detail  —  Actuals + Reconciled Estimates  (sums match Monthly Summary)</t>
  </si>
  <si>
    <t xml:space="preserve">Week</t>
  </si>
  <si>
    <t xml:space="preserve">Revenue</t>
  </si>
  <si>
    <t xml:space="preserve">Profit</t>
  </si>
  <si>
    <t xml:space="preserve">Apr 01 – 07</t>
  </si>
  <si>
    <t xml:space="preserve">Est.</t>
  </si>
  <si>
    <t xml:space="preserve">Backfilled est. — weekly split of monthly actual</t>
  </si>
  <si>
    <t xml:space="preserve">Apr 08 – 14</t>
  </si>
  <si>
    <t xml:space="preserve">Apr 15 – 21</t>
  </si>
  <si>
    <t xml:space="preserve">Apr 22 – 30</t>
  </si>
  <si>
    <t xml:space="preserve">May 01 – 07</t>
  </si>
  <si>
    <t xml:space="preserve">May 08 – 14</t>
  </si>
  <si>
    <t xml:space="preserve">May 15 – 21</t>
  </si>
  <si>
    <t xml:space="preserve">May 22 – 31</t>
  </si>
  <si>
    <t xml:space="preserve">Jun 01 – 07</t>
  </si>
  <si>
    <t xml:space="preserve">Jun 08 – 14</t>
  </si>
  <si>
    <t xml:space="preserve">Jun 15 – 21</t>
  </si>
  <si>
    <t xml:space="preserve">Jun 22 – 30</t>
  </si>
  <si>
    <t xml:space="preserve">Jul 01 – 07</t>
  </si>
  <si>
    <t xml:space="preserve">Jul 08 – 14</t>
  </si>
  <si>
    <t xml:space="preserve">Jul 15 – 21</t>
  </si>
  <si>
    <t xml:space="preserve">Jul 22 – 31</t>
  </si>
  <si>
    <t xml:space="preserve">Aug 01 – 07</t>
  </si>
  <si>
    <t xml:space="preserve">Aug 08 – 14</t>
  </si>
  <si>
    <t xml:space="preserve">Aug 15 – 21</t>
  </si>
  <si>
    <t xml:space="preserve">Aug 22 – 31</t>
  </si>
  <si>
    <t xml:space="preserve">Sep 01 – 07</t>
  </si>
  <si>
    <t xml:space="preserve">Sep 08 – 14</t>
  </si>
  <si>
    <t xml:space="preserve">Sep 15 – 21</t>
  </si>
  <si>
    <t xml:space="preserve">Sep 22 – 30</t>
  </si>
  <si>
    <t xml:space="preserve">Oct 01 – 07</t>
  </si>
  <si>
    <t xml:space="preserve">Oct 08 – 14</t>
  </si>
  <si>
    <t xml:space="preserve">Oct 15 – 21</t>
  </si>
  <si>
    <t xml:space="preserve">Oct 22 – 31</t>
  </si>
  <si>
    <t xml:space="preserve">Nov 01 – 07</t>
  </si>
  <si>
    <t xml:space="preserve">Nov 08 – 14</t>
  </si>
  <si>
    <t xml:space="preserve">Nov 15 – 21</t>
  </si>
  <si>
    <t xml:space="preserve">Nov 22 – 30</t>
  </si>
  <si>
    <t xml:space="preserve">Dec 01 – 07</t>
  </si>
  <si>
    <t xml:space="preserve">Dec 08 – 14</t>
  </si>
  <si>
    <t xml:space="preserve">Dec 15 – 21</t>
  </si>
  <si>
    <t xml:space="preserve">Dec 22 – 31</t>
  </si>
  <si>
    <t xml:space="preserve">Jan 01 – 07</t>
  </si>
  <si>
    <t xml:space="preserve">Jan 08 – 14</t>
  </si>
  <si>
    <t xml:space="preserve">Jan 15 – 21</t>
  </si>
  <si>
    <t xml:space="preserve">Jan 22 – 31</t>
  </si>
  <si>
    <t xml:space="preserve">Feb 01 – 07</t>
  </si>
  <si>
    <t xml:space="preserve">Feb 08 – 14</t>
  </si>
  <si>
    <t xml:space="preserve">Feb 15 – 21</t>
  </si>
  <si>
    <t xml:space="preserve">Feb 22 – 28</t>
  </si>
  <si>
    <t xml:space="preserve">Wk1  Mar 12–18</t>
  </si>
  <si>
    <t xml:space="preserve">Company launch week</t>
  </si>
  <si>
    <t xml:space="preserve">Wk2  Mar 19–25</t>
  </si>
  <si>
    <t xml:space="preserve">Wk3  Mar 26–Apr 1</t>
  </si>
  <si>
    <t xml:space="preserve">Vaicos confirmed: 589,940 rev / 383,461 profit · weekly rev sums 1,289,940 (monthly rounds to 1.29M)</t>
  </si>
  <si>
    <t xml:space="preserve">Wk4  Apr 2–8</t>
  </si>
  <si>
    <t xml:space="preserve">Vaicos confirmed: 684,615 rev; haste deal pending fill</t>
  </si>
  <si>
    <t xml:space="preserve">Apr 09 – 15</t>
  </si>
  <si>
    <t xml:space="preserve">Scaled to reconcile with monthly actual</t>
  </si>
  <si>
    <t xml:space="preserve">Apr 16 – 22</t>
  </si>
  <si>
    <t xml:space="preserve">Apr 23 – 29</t>
  </si>
  <si>
    <t xml:space="preserve">Apr 30 – 06</t>
  </si>
  <si>
    <t xml:space="preserve">May 07 – 13</t>
  </si>
  <si>
    <t xml:space="preserve">May 14 – 20</t>
  </si>
  <si>
    <t xml:space="preserve">May 21 – 27</t>
  </si>
  <si>
    <t xml:space="preserve">May 28 – 03</t>
  </si>
  <si>
    <t xml:space="preserve">Jun 04 – 10</t>
  </si>
  <si>
    <t xml:space="preserve">Jun 11 – 17</t>
  </si>
  <si>
    <t xml:space="preserve">Jun 18 – 24</t>
  </si>
  <si>
    <t xml:space="preserve">Jun 25 – 01</t>
  </si>
  <si>
    <t xml:space="preserve">Jul 02 – 08</t>
  </si>
  <si>
    <t xml:space="preserve">Jul 09 – 15</t>
  </si>
  <si>
    <t xml:space="preserve">Jul 16 – 22</t>
  </si>
  <si>
    <t xml:space="preserve">Jul 23 – 29</t>
  </si>
  <si>
    <t xml:space="preserve">Jul 30 – 05</t>
  </si>
  <si>
    <t xml:space="preserve">Aug 06 – 12</t>
  </si>
  <si>
    <t xml:space="preserve">Aug 13 – 19</t>
  </si>
  <si>
    <t xml:space="preserve">Aug 20 – 26</t>
  </si>
  <si>
    <t xml:space="preserve">Aug 27 – 02</t>
  </si>
  <si>
    <t xml:space="preserve">Sep 03 – 09</t>
  </si>
  <si>
    <t xml:space="preserve">Sep 10 – 16</t>
  </si>
  <si>
    <t xml:space="preserve">Sep 17 – 23</t>
  </si>
  <si>
    <t xml:space="preserve">Sep 24 – 30</t>
  </si>
  <si>
    <t xml:space="preserve">Oct 22 – 28</t>
  </si>
  <si>
    <t xml:space="preserve">Oct 29 – 04</t>
  </si>
  <si>
    <t xml:space="preserve">Nov 05 – 11</t>
  </si>
  <si>
    <t xml:space="preserve">Nov 12 – 18</t>
  </si>
  <si>
    <t xml:space="preserve">Nov 19 – 25</t>
  </si>
  <si>
    <t xml:space="preserve">Nov 26 – 02</t>
  </si>
  <si>
    <t xml:space="preserve">Dec 03 – 09</t>
  </si>
  <si>
    <t xml:space="preserve">Dec 10 – 16</t>
  </si>
  <si>
    <t xml:space="preserve">Dec 17 – 23</t>
  </si>
  <si>
    <t xml:space="preserve">Dec 24 – 30</t>
  </si>
  <si>
    <t xml:space="preserve">Dec 31 – 06</t>
  </si>
  <si>
    <t xml:space="preserve">Jan 07 – 13</t>
  </si>
  <si>
    <t xml:space="preserve">Jan 14 – 20</t>
  </si>
  <si>
    <t xml:space="preserve">Jan 21 – 27</t>
  </si>
  <si>
    <t xml:space="preserve">Jan 28 – 03</t>
  </si>
  <si>
    <t xml:space="preserve">Feb 04 – 10</t>
  </si>
  <si>
    <t xml:space="preserve">Feb 11 – 17</t>
  </si>
  <si>
    <t xml:space="preserve">Feb 18 – 24</t>
  </si>
  <si>
    <t xml:space="preserve">Feb 25 – 03</t>
  </si>
  <si>
    <t xml:space="preserve">Mar 04 – 10</t>
  </si>
  <si>
    <t xml:space="preserve">Mar 11 – 17</t>
  </si>
  <si>
    <t xml:space="preserve">Mar 18 – 24</t>
  </si>
  <si>
    <t xml:space="preserve">Mar 25 – 31</t>
  </si>
  <si>
    <t xml:space="preserve">Apr 22 – 28</t>
  </si>
  <si>
    <t xml:space="preserve">Apr 29 – 03</t>
  </si>
  <si>
    <t xml:space="preserve">May 04 – 10</t>
  </si>
  <si>
    <t xml:space="preserve">May 11 – 17</t>
  </si>
  <si>
    <t xml:space="preserve">May 18 – 24</t>
  </si>
  <si>
    <t xml:space="preserve">May 25 – 31</t>
  </si>
  <si>
    <t xml:space="preserve">Tracked actuals to Jun 22 (scaled to 2.5M/1.5M total)</t>
  </si>
  <si>
    <t xml:space="preserve">Final 8 days — June close 2.9M/1.8M per Vaicos</t>
  </si>
  <si>
    <t xml:space="preserve">Tiberian Equities | GEX  —  Dividend Payment Schedule  (Crimson Banking)</t>
  </si>
  <si>
    <t xml:space="preserve">Monthly payouts to investors via Crimson Banking  ·  Blue = Pre-bank est.  ·  Green = Confirmed paid  ·  Yellow = Upcoming</t>
  </si>
  <si>
    <t xml:space="preserve">Month</t>
  </si>
  <si>
    <t xml:space="preserve">Est. Revenue</t>
  </si>
  <si>
    <t xml:space="preserve">Dividend</t>
  </si>
  <si>
    <t xml:space="preserve">Due Date</t>
  </si>
  <si>
    <t xml:space="preserve">Status</t>
  </si>
  <si>
    <t xml:space="preserve">Apr 15 2024</t>
  </si>
  <si>
    <t xml:space="preserve">Est. (pre-bank)</t>
  </si>
  <si>
    <t xml:space="preserve">Early ops — estimated internal distribution</t>
  </si>
  <si>
    <t xml:space="preserve">May 15 2024</t>
  </si>
  <si>
    <t xml:space="preserve">Jun 15 2024</t>
  </si>
  <si>
    <t xml:space="preserve">Jul 15 2024</t>
  </si>
  <si>
    <t xml:space="preserve">Aug 15 2024</t>
  </si>
  <si>
    <t xml:space="preserve">Peak summer revenue</t>
  </si>
  <si>
    <t xml:space="preserve">Sep 15 2024</t>
  </si>
  <si>
    <t xml:space="preserve">Oct 15 2024</t>
  </si>
  <si>
    <t xml:space="preserve">Market correction month</t>
  </si>
  <si>
    <t xml:space="preserve">Nov 15 2024</t>
  </si>
  <si>
    <t xml:space="preserve">Dec 15 2024</t>
  </si>
  <si>
    <t xml:space="preserve">Jan 15 2025</t>
  </si>
  <si>
    <t xml:space="preserve">Feb 15 2025</t>
  </si>
  <si>
    <t xml:space="preserve">Mar 15 2025</t>
  </si>
  <si>
    <t xml:space="preserve">Company launch month — partial</t>
  </si>
  <si>
    <t xml:space="preserve">Apr 15 2025</t>
  </si>
  <si>
    <t xml:space="preserve">Ramp-up; Crimson Banking deal negotiated</t>
  </si>
  <si>
    <t xml:space="preserve">May 15 2025</t>
  </si>
  <si>
    <t xml:space="preserve">Paid ✓</t>
  </si>
  <si>
    <t xml:space="preserve">Confirmed — Crimson Banking transfer</t>
  </si>
  <si>
    <t xml:space="preserve">Jun 15 2025</t>
  </si>
  <si>
    <t xml:space="preserve">Confirmed — raised despite lower revenue month</t>
  </si>
  <si>
    <t xml:space="preserve">Jul 15 2025</t>
  </si>
  <si>
    <t xml:space="preserve">Confirmed — Allmart started contributing</t>
  </si>
  <si>
    <t xml:space="preserve">Aug 15 2025</t>
  </si>
  <si>
    <t xml:space="preserve">Estimated ~300k; server downtime month</t>
  </si>
  <si>
    <t xml:space="preserve">Sep 17 2025</t>
  </si>
  <si>
    <t xml:space="preserve">Oct 16 2025</t>
  </si>
  <si>
    <t xml:space="preserve">Confirmed — peak expansion month</t>
  </si>
  <si>
    <t xml:space="preserve">Nov 21 2025</t>
  </si>
  <si>
    <t xml:space="preserve">Dec 20 2025</t>
  </si>
  <si>
    <t xml:space="preserve">Jan 22 2026</t>
  </si>
  <si>
    <t xml:space="preserve">Confirmed by Vaicos (Jan 22 2026)</t>
  </si>
  <si>
    <t xml:space="preserve">Feb 15 2026</t>
  </si>
  <si>
    <t xml:space="preserve">Actual paid — Crimson Banking</t>
  </si>
  <si>
    <t xml:space="preserve">Mar 15 2026</t>
  </si>
  <si>
    <t xml:space="preserve">Apr 15 2026</t>
  </si>
  <si>
    <t xml:space="preserve">May 15 2026</t>
  </si>
  <si>
    <t xml:space="preserve">Jun 15 2026</t>
  </si>
  <si>
    <t xml:space="preserve">Upcoming</t>
  </si>
  <si>
    <t xml:space="preserve">Not yet paid — due after June close (est. 160k)</t>
  </si>
  <si>
    <t xml:space="preserve">TOTAL  Est. Pre-Bank</t>
  </si>
  <si>
    <t xml:space="preserve">TOTAL  Confirmed Paid</t>
  </si>
  <si>
    <t xml:space="preserve">TOTAL  Actual (Owed)</t>
  </si>
  <si>
    <t xml:space="preserve">TOTAL  Upcoming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</si>
</sst>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i val="true"/>
      <sz val="9"/>
      <color rgb="FF375623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7F600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E2EFDA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C6EFCE"/>
      </patternFill>
    </fill>
    <fill>
      <patternFill patternType="solid">
        <fgColor rgb="FFA9D18E"/>
        <bgColor rgb="FF9DC3E6"/>
      </patternFill>
    </fill>
    <fill>
      <patternFill patternType="solid">
        <fgColor rgb="FFFFEB9C"/>
        <bgColor rgb="FFFFD966"/>
      </patternFill>
    </fill>
    <fill>
      <patternFill patternType="solid">
        <fgColor rgb="FFFFD966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A9D18E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DC3E6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11" activePane="bottomLeft" state="frozen"/>
      <selection pane="topLeft" activeCell="A1" activeCellId="0" sqref="A1"/>
      <selection pane="bottomLeft" activeCell="J33" activeCellId="0" sqref="J3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0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6" min="6" style="1" width="52"/>
    <col collapsed="false" customWidth="true" hidden="false" outlineLevel="0" max="7" min="7" style="1" width="13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21.7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customFormat="false" ht="18" hidden="false" customHeight="true" outlineLevel="0" collapsed="false">
      <c r="A5" s="6" t="s">
        <v>10</v>
      </c>
      <c r="B5" s="7" t="n">
        <v>1790000</v>
      </c>
      <c r="C5" s="7" t="n">
        <v>1378300</v>
      </c>
      <c r="D5" s="8" t="n">
        <f aca="false">C5/B5</f>
        <v>0.77</v>
      </c>
      <c r="E5" s="7" t="n">
        <v>150000</v>
      </c>
      <c r="F5" s="9" t="s">
        <v>11</v>
      </c>
      <c r="G5" s="6" t="s">
        <v>12</v>
      </c>
    </row>
    <row r="6" customFormat="false" ht="18" hidden="false" customHeight="true" outlineLevel="0" collapsed="false">
      <c r="A6" s="10" t="s">
        <v>13</v>
      </c>
      <c r="B6" s="11" t="n">
        <v>1393000</v>
      </c>
      <c r="C6" s="11" t="n">
        <v>947240</v>
      </c>
      <c r="D6" s="12" t="n">
        <f aca="false">C6/B6</f>
        <v>0.68</v>
      </c>
      <c r="E6" s="11" t="n">
        <v>120000</v>
      </c>
      <c r="F6" s="13" t="s">
        <v>14</v>
      </c>
      <c r="G6" s="10" t="s">
        <v>12</v>
      </c>
    </row>
    <row r="7" customFormat="false" ht="18" hidden="false" customHeight="true" outlineLevel="0" collapsed="false">
      <c r="A7" s="6" t="s">
        <v>15</v>
      </c>
      <c r="B7" s="7" t="n">
        <v>3600000</v>
      </c>
      <c r="C7" s="7" t="n">
        <v>2628000</v>
      </c>
      <c r="D7" s="8" t="n">
        <f aca="false">C7/B7</f>
        <v>0.73</v>
      </c>
      <c r="E7" s="7" t="n">
        <v>210000</v>
      </c>
      <c r="F7" s="9" t="s">
        <v>16</v>
      </c>
      <c r="G7" s="6" t="s">
        <v>12</v>
      </c>
    </row>
    <row r="8" customFormat="false" ht="18" hidden="false" customHeight="true" outlineLevel="0" collapsed="false">
      <c r="A8" s="10" t="s">
        <v>17</v>
      </c>
      <c r="B8" s="11" t="n">
        <v>3862000</v>
      </c>
      <c r="C8" s="11" t="n">
        <v>2780640</v>
      </c>
      <c r="D8" s="12" t="n">
        <f aca="false">C8/B8</f>
        <v>0.72</v>
      </c>
      <c r="E8" s="11" t="n">
        <v>220000</v>
      </c>
      <c r="F8" s="13"/>
      <c r="G8" s="10" t="s">
        <v>12</v>
      </c>
    </row>
    <row r="9" customFormat="false" ht="18" hidden="false" customHeight="true" outlineLevel="0" collapsed="false">
      <c r="A9" s="6" t="s">
        <v>18</v>
      </c>
      <c r="B9" s="7" t="n">
        <v>4950000</v>
      </c>
      <c r="C9" s="7" t="n">
        <v>3663000</v>
      </c>
      <c r="D9" s="8" t="n">
        <f aca="false">C9/B9</f>
        <v>0.74</v>
      </c>
      <c r="E9" s="7" t="n">
        <v>250000</v>
      </c>
      <c r="F9" s="9" t="s">
        <v>19</v>
      </c>
      <c r="G9" s="6" t="s">
        <v>12</v>
      </c>
    </row>
    <row r="10" customFormat="false" ht="18" hidden="false" customHeight="true" outlineLevel="0" collapsed="false">
      <c r="A10" s="10" t="s">
        <v>20</v>
      </c>
      <c r="B10" s="11" t="n">
        <v>6775000</v>
      </c>
      <c r="C10" s="11" t="n">
        <v>5149000</v>
      </c>
      <c r="D10" s="12" t="n">
        <f aca="false">C10/B10</f>
        <v>0.76</v>
      </c>
      <c r="E10" s="11" t="n">
        <v>320000</v>
      </c>
      <c r="F10" s="13" t="s">
        <v>21</v>
      </c>
      <c r="G10" s="10" t="s">
        <v>12</v>
      </c>
    </row>
    <row r="11" customFormat="false" ht="18" hidden="false" customHeight="true" outlineLevel="0" collapsed="false">
      <c r="A11" s="6" t="s">
        <v>22</v>
      </c>
      <c r="B11" s="7" t="n">
        <v>3775000</v>
      </c>
      <c r="C11" s="7" t="n">
        <v>2755750</v>
      </c>
      <c r="D11" s="8" t="n">
        <f aca="false">C11/B11</f>
        <v>0.73</v>
      </c>
      <c r="E11" s="7" t="n">
        <v>230000</v>
      </c>
      <c r="F11" s="9" t="s">
        <v>23</v>
      </c>
      <c r="G11" s="6" t="s">
        <v>12</v>
      </c>
    </row>
    <row r="12" customFormat="false" ht="18" hidden="false" customHeight="true" outlineLevel="0" collapsed="false">
      <c r="A12" s="10" t="s">
        <v>24</v>
      </c>
      <c r="B12" s="11" t="n">
        <v>3443000</v>
      </c>
      <c r="C12" s="11" t="n">
        <v>2850000</v>
      </c>
      <c r="D12" s="12" t="n">
        <f aca="false">C12/B12</f>
        <v>0.827766482718559</v>
      </c>
      <c r="E12" s="11" t="n">
        <v>220000</v>
      </c>
      <c r="F12" s="13"/>
      <c r="G12" s="10" t="s">
        <v>12</v>
      </c>
    </row>
    <row r="13" customFormat="false" ht="18" hidden="false" customHeight="true" outlineLevel="0" collapsed="false">
      <c r="A13" s="6" t="s">
        <v>25</v>
      </c>
      <c r="B13" s="7" t="n">
        <v>3770000</v>
      </c>
      <c r="C13" s="7" t="n">
        <v>3070000</v>
      </c>
      <c r="D13" s="8" t="n">
        <f aca="false">C13/B13</f>
        <v>0.814323607427056</v>
      </c>
      <c r="E13" s="7" t="n">
        <v>230000</v>
      </c>
      <c r="F13" s="9"/>
      <c r="G13" s="6" t="s">
        <v>12</v>
      </c>
    </row>
    <row r="14" customFormat="false" ht="18" hidden="false" customHeight="true" outlineLevel="0" collapsed="false">
      <c r="A14" s="10" t="s">
        <v>26</v>
      </c>
      <c r="B14" s="11" t="n">
        <v>3770000</v>
      </c>
      <c r="C14" s="11" t="n">
        <v>2825000</v>
      </c>
      <c r="D14" s="12" t="n">
        <f aca="false">C14/B14</f>
        <v>0.749336870026525</v>
      </c>
      <c r="E14" s="11" t="n">
        <v>220000</v>
      </c>
      <c r="F14" s="13" t="s">
        <v>27</v>
      </c>
      <c r="G14" s="10" t="s">
        <v>12</v>
      </c>
    </row>
    <row r="15" customFormat="false" ht="18" hidden="false" customHeight="true" outlineLevel="0" collapsed="false">
      <c r="A15" s="6" t="s">
        <v>28</v>
      </c>
      <c r="B15" s="7" t="n">
        <v>3200000</v>
      </c>
      <c r="C15" s="7" t="n">
        <v>2240000</v>
      </c>
      <c r="D15" s="8" t="n">
        <f aca="false">C15/B15</f>
        <v>0.7</v>
      </c>
      <c r="E15" s="7" t="n">
        <v>200000</v>
      </c>
      <c r="F15" s="14" t="s">
        <v>29</v>
      </c>
      <c r="G15" s="6" t="s">
        <v>12</v>
      </c>
    </row>
    <row r="16" customFormat="false" ht="18" hidden="false" customHeight="true" outlineLevel="0" collapsed="false">
      <c r="A16" s="10" t="s">
        <v>30</v>
      </c>
      <c r="B16" s="11" t="n">
        <v>1290000</v>
      </c>
      <c r="C16" s="11" t="n">
        <v>903000</v>
      </c>
      <c r="D16" s="12" t="n">
        <f aca="false">C16/B16</f>
        <v>0.7</v>
      </c>
      <c r="E16" s="11" t="n">
        <v>100000</v>
      </c>
      <c r="F16" s="15" t="s">
        <v>31</v>
      </c>
      <c r="G16" s="10" t="s">
        <v>12</v>
      </c>
    </row>
    <row r="17" customFormat="false" ht="18" hidden="false" customHeight="true" outlineLevel="0" collapsed="false">
      <c r="A17" s="6" t="s">
        <v>32</v>
      </c>
      <c r="B17" s="7" t="n">
        <v>2740000</v>
      </c>
      <c r="C17" s="7" t="n">
        <v>1918000</v>
      </c>
      <c r="D17" s="8" t="n">
        <f aca="false">C17/B17</f>
        <v>0.7</v>
      </c>
      <c r="E17" s="7" t="n">
        <v>180000</v>
      </c>
      <c r="F17" s="14" t="s">
        <v>33</v>
      </c>
      <c r="G17" s="6" t="s">
        <v>12</v>
      </c>
    </row>
    <row r="18" customFormat="false" ht="18" hidden="false" customHeight="true" outlineLevel="0" collapsed="false">
      <c r="A18" s="10" t="s">
        <v>34</v>
      </c>
      <c r="B18" s="11" t="n">
        <v>2870000</v>
      </c>
      <c r="C18" s="11" t="n">
        <v>2009000</v>
      </c>
      <c r="D18" s="12" t="n">
        <f aca="false">C18/B18</f>
        <v>0.7</v>
      </c>
      <c r="E18" s="11" t="n">
        <v>200000</v>
      </c>
      <c r="F18" s="15" t="s">
        <v>35</v>
      </c>
      <c r="G18" s="10" t="s">
        <v>12</v>
      </c>
    </row>
    <row r="19" customFormat="false" ht="18" hidden="false" customHeight="true" outlineLevel="0" collapsed="false">
      <c r="A19" s="6" t="s">
        <v>36</v>
      </c>
      <c r="B19" s="7" t="n">
        <v>2600000</v>
      </c>
      <c r="C19" s="7" t="n">
        <v>1820000</v>
      </c>
      <c r="D19" s="8" t="n">
        <f aca="false">C19/B19</f>
        <v>0.7</v>
      </c>
      <c r="E19" s="7" t="n">
        <v>250000</v>
      </c>
      <c r="F19" s="14" t="s">
        <v>37</v>
      </c>
      <c r="G19" s="6" t="s">
        <v>12</v>
      </c>
    </row>
    <row r="20" customFormat="false" ht="18" hidden="false" customHeight="true" outlineLevel="0" collapsed="false">
      <c r="A20" s="10" t="s">
        <v>38</v>
      </c>
      <c r="B20" s="11" t="n">
        <v>3380000</v>
      </c>
      <c r="C20" s="11" t="n">
        <v>2366000</v>
      </c>
      <c r="D20" s="12" t="n">
        <f aca="false">C20/B20</f>
        <v>0.7</v>
      </c>
      <c r="E20" s="11" t="n">
        <v>325000</v>
      </c>
      <c r="F20" s="15" t="s">
        <v>39</v>
      </c>
      <c r="G20" s="10" t="s">
        <v>12</v>
      </c>
    </row>
    <row r="21" customFormat="false" ht="18" hidden="false" customHeight="true" outlineLevel="0" collapsed="false">
      <c r="A21" s="6" t="s">
        <v>40</v>
      </c>
      <c r="B21" s="7" t="n">
        <v>2700000</v>
      </c>
      <c r="C21" s="7" t="n">
        <v>1890000</v>
      </c>
      <c r="D21" s="8" t="n">
        <f aca="false">C21/B21</f>
        <v>0.7</v>
      </c>
      <c r="E21" s="7" t="n">
        <v>300000</v>
      </c>
      <c r="F21" s="14" t="s">
        <v>41</v>
      </c>
      <c r="G21" s="6" t="s">
        <v>12</v>
      </c>
    </row>
    <row r="22" customFormat="false" ht="18" hidden="false" customHeight="true" outlineLevel="0" collapsed="false">
      <c r="A22" s="10" t="s">
        <v>42</v>
      </c>
      <c r="B22" s="11" t="n">
        <v>3250000</v>
      </c>
      <c r="C22" s="11" t="n">
        <v>2275000</v>
      </c>
      <c r="D22" s="12" t="n">
        <f aca="false">C22/B22</f>
        <v>0.7</v>
      </c>
      <c r="E22" s="11" t="n">
        <v>325000</v>
      </c>
      <c r="F22" s="15" t="s">
        <v>43</v>
      </c>
      <c r="G22" s="10" t="s">
        <v>12</v>
      </c>
    </row>
    <row r="23" customFormat="false" ht="18" hidden="false" customHeight="true" outlineLevel="0" collapsed="false">
      <c r="A23" s="6" t="s">
        <v>44</v>
      </c>
      <c r="B23" s="7" t="n">
        <v>4200000</v>
      </c>
      <c r="C23" s="7" t="n">
        <v>2940000</v>
      </c>
      <c r="D23" s="8" t="n">
        <f aca="false">C23/B23</f>
        <v>0.7</v>
      </c>
      <c r="E23" s="7" t="n">
        <v>535000</v>
      </c>
      <c r="F23" s="14" t="s">
        <v>45</v>
      </c>
      <c r="G23" s="6" t="s">
        <v>12</v>
      </c>
    </row>
    <row r="24" customFormat="false" ht="18" hidden="false" customHeight="true" outlineLevel="0" collapsed="false">
      <c r="A24" s="10" t="s">
        <v>46</v>
      </c>
      <c r="B24" s="11" t="n">
        <v>3700000</v>
      </c>
      <c r="C24" s="11" t="n">
        <v>2590000</v>
      </c>
      <c r="D24" s="12" t="n">
        <f aca="false">C24/B24</f>
        <v>0.7</v>
      </c>
      <c r="E24" s="11" t="n">
        <v>450000</v>
      </c>
      <c r="F24" s="15" t="s">
        <v>47</v>
      </c>
      <c r="G24" s="10" t="s">
        <v>12</v>
      </c>
    </row>
    <row r="25" customFormat="false" ht="18" hidden="false" customHeight="true" outlineLevel="0" collapsed="false">
      <c r="A25" s="6" t="s">
        <v>48</v>
      </c>
      <c r="B25" s="7" t="n">
        <v>3000000</v>
      </c>
      <c r="C25" s="7" t="n">
        <v>2100000</v>
      </c>
      <c r="D25" s="8" t="n">
        <f aca="false">C25/B25</f>
        <v>0.7</v>
      </c>
      <c r="E25" s="7" t="n">
        <v>350000</v>
      </c>
      <c r="F25" s="14" t="s">
        <v>49</v>
      </c>
      <c r="G25" s="6" t="s">
        <v>12</v>
      </c>
    </row>
    <row r="26" customFormat="false" ht="18" hidden="false" customHeight="true" outlineLevel="0" collapsed="false">
      <c r="A26" s="10" t="s">
        <v>50</v>
      </c>
      <c r="B26" s="11" t="n">
        <v>3200000</v>
      </c>
      <c r="C26" s="11" t="n">
        <v>2240000</v>
      </c>
      <c r="D26" s="12" t="n">
        <f aca="false">C26/B26</f>
        <v>0.7</v>
      </c>
      <c r="E26" s="11" t="n">
        <v>280000</v>
      </c>
      <c r="F26" s="15" t="s">
        <v>51</v>
      </c>
      <c r="G26" s="10" t="s">
        <v>12</v>
      </c>
    </row>
    <row r="27" customFormat="false" ht="18" hidden="false" customHeight="true" outlineLevel="0" collapsed="false">
      <c r="A27" s="6" t="s">
        <v>52</v>
      </c>
      <c r="B27" s="7" t="n">
        <v>3400000</v>
      </c>
      <c r="C27" s="7" t="n">
        <v>2380000</v>
      </c>
      <c r="D27" s="8" t="n">
        <f aca="false">C27/B27</f>
        <v>0.7</v>
      </c>
      <c r="E27" s="7" t="n">
        <v>150000</v>
      </c>
      <c r="F27" s="9"/>
      <c r="G27" s="6" t="s">
        <v>12</v>
      </c>
    </row>
    <row r="28" customFormat="false" ht="18" hidden="false" customHeight="true" outlineLevel="0" collapsed="false">
      <c r="A28" s="6" t="s">
        <v>53</v>
      </c>
      <c r="B28" s="7" t="n">
        <v>3600000</v>
      </c>
      <c r="C28" s="7" t="n">
        <v>2520000</v>
      </c>
      <c r="D28" s="8" t="n">
        <f aca="false">C28/B28</f>
        <v>0.7</v>
      </c>
      <c r="E28" s="7" t="n">
        <v>165000</v>
      </c>
      <c r="F28" s="9"/>
      <c r="G28" s="6" t="s">
        <v>12</v>
      </c>
    </row>
    <row r="29" customFormat="false" ht="18" hidden="false" customHeight="true" outlineLevel="0" collapsed="false">
      <c r="A29" s="6" t="s">
        <v>54</v>
      </c>
      <c r="B29" s="7" t="n">
        <v>3800000</v>
      </c>
      <c r="C29" s="7" t="n">
        <v>2660000</v>
      </c>
      <c r="D29" s="8" t="n">
        <f aca="false">C29/B29</f>
        <v>0.7</v>
      </c>
      <c r="E29" s="7" t="n">
        <v>180000</v>
      </c>
      <c r="F29" s="9"/>
      <c r="G29" s="6" t="s">
        <v>12</v>
      </c>
    </row>
    <row r="30" customFormat="false" ht="18" hidden="false" customHeight="true" outlineLevel="0" collapsed="false">
      <c r="A30" s="6" t="s">
        <v>55</v>
      </c>
      <c r="B30" s="7" t="n">
        <v>4000000</v>
      </c>
      <c r="C30" s="7" t="n">
        <v>2800000</v>
      </c>
      <c r="D30" s="8" t="n">
        <f aca="false">C30/B30</f>
        <v>0.7</v>
      </c>
      <c r="E30" s="7" t="n">
        <v>200000</v>
      </c>
      <c r="F30" s="9" t="s">
        <v>56</v>
      </c>
      <c r="G30" s="6" t="s">
        <v>12</v>
      </c>
    </row>
    <row r="31" customFormat="false" ht="21.75" hidden="false" customHeight="true" outlineLevel="0" collapsed="false">
      <c r="A31" s="6" t="s">
        <v>57</v>
      </c>
      <c r="B31" s="7" t="n">
        <v>2900000</v>
      </c>
      <c r="C31" s="7" t="n">
        <v>1800000</v>
      </c>
      <c r="D31" s="8" t="n">
        <f aca="false">C31/B31</f>
        <v>0.620689655172414</v>
      </c>
      <c r="E31" s="7" t="n">
        <v>160000</v>
      </c>
      <c r="F31" s="9" t="s">
        <v>58</v>
      </c>
      <c r="G31" s="6" t="s">
        <v>12</v>
      </c>
    </row>
    <row r="32" customFormat="false" ht="21.75" hidden="false" customHeight="true" outlineLevel="0" collapsed="false"/>
    <row r="33" customFormat="false" ht="21.75" hidden="false" customHeight="true" outlineLevel="0" collapsed="false">
      <c r="A33" s="6" t="s">
        <v>59</v>
      </c>
      <c r="B33" s="16" t="n">
        <f aca="false">AVERAGEIF($G$5:$G$31,"Actual",B5:B31)</f>
        <v>3368814.81481482</v>
      </c>
      <c r="C33" s="16" t="n">
        <f aca="false">AVERAGEIF($G$5:$G$31,"Actual",C5:C31)</f>
        <v>2425849.25925926</v>
      </c>
      <c r="D33" s="8" t="n">
        <f aca="false">AVERAGEIF($G$5:$G$31,"Actual",D5:D31)</f>
        <v>0.716374689457206</v>
      </c>
      <c r="E33" s="16" t="n">
        <f aca="false">AVERAGEIF($G$5:$G$31,"Actual",E5:E31)</f>
        <v>241481.481481482</v>
      </c>
      <c r="F33" s="6"/>
      <c r="G33" s="6"/>
    </row>
    <row r="34" customFormat="false" ht="21.75" hidden="false" customHeight="true" outlineLevel="0" collapsed="false">
      <c r="A34" s="17"/>
      <c r="B34" s="18"/>
      <c r="C34" s="18"/>
      <c r="D34" s="19"/>
      <c r="E34" s="18"/>
      <c r="F34" s="17"/>
      <c r="G34" s="17"/>
    </row>
    <row r="35" customFormat="false" ht="21.75" hidden="false" customHeight="true" outlineLevel="0" collapsed="false">
      <c r="A35" s="20" t="s">
        <v>60</v>
      </c>
      <c r="B35" s="21" t="str">
        <f aca="false">IFERROR(AVERAGEIF($G$5:$G$31,"Projected",B5:B31),"—")</f>
        <v>—</v>
      </c>
      <c r="C35" s="21" t="str">
        <f aca="false">IFERROR(AVERAGEIF($G$5:$G$31,"Projected",C5:C31),"—")</f>
        <v>—</v>
      </c>
      <c r="D35" s="22" t="str">
        <f aca="false">IFERROR(AVERAGEIF($G$5:$G$31,"Projected",D5:D31),"—")</f>
        <v>—</v>
      </c>
      <c r="E35" s="21" t="str">
        <f aca="false">IFERROR(AVERAGEIF($G$5:$G$31,"Projected",E5:E31),"—")</f>
        <v>—</v>
      </c>
      <c r="F35" s="20"/>
      <c r="G35" s="20"/>
    </row>
    <row r="36" customFormat="false" ht="15" hidden="false" customHeight="true" outlineLevel="0" collapsed="false">
      <c r="A36" s="5" t="s">
        <v>61</v>
      </c>
      <c r="B36" s="23" t="n">
        <f aca="false">SUM(B5:B31)</f>
        <v>90958000</v>
      </c>
      <c r="C36" s="23" t="n">
        <f aca="false">SUM(C5:C31)</f>
        <v>65497930</v>
      </c>
      <c r="D36" s="24" t="n">
        <f aca="false">C36/B36</f>
        <v>0.720089821675938</v>
      </c>
      <c r="E36" s="23" t="n">
        <f aca="false">SUM(E5:E31)</f>
        <v>6520000</v>
      </c>
      <c r="F36" s="5"/>
      <c r="G36" s="5"/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7" min="7" style="1" width="45"/>
  </cols>
  <sheetData>
    <row r="1" customFormat="false" ht="19.5" hidden="false" customHeight="true" outlineLevel="0" collapsed="false">
      <c r="A1" s="25" t="s">
        <v>62</v>
      </c>
    </row>
    <row r="2" customFormat="false" ht="15" hidden="false" customHeight="true" outlineLevel="0" collapsed="false">
      <c r="A2" s="5" t="s">
        <v>63</v>
      </c>
      <c r="B2" s="5" t="s">
        <v>64</v>
      </c>
      <c r="C2" s="5" t="s">
        <v>65</v>
      </c>
      <c r="D2" s="5" t="s">
        <v>6</v>
      </c>
      <c r="E2" s="5" t="s">
        <v>3</v>
      </c>
      <c r="F2" s="5" t="s">
        <v>9</v>
      </c>
      <c r="G2" s="5" t="s">
        <v>8</v>
      </c>
    </row>
    <row r="3" customFormat="false" ht="15" hidden="false" customHeight="true" outlineLevel="0" collapsed="false">
      <c r="A3" s="26" t="s">
        <v>66</v>
      </c>
      <c r="B3" s="27" t="n">
        <v>493920</v>
      </c>
      <c r="C3" s="27" t="n">
        <v>385368</v>
      </c>
      <c r="D3" s="28" t="n">
        <f aca="false">C3/B3</f>
        <v>0.78022351797862</v>
      </c>
      <c r="E3" s="29" t="s">
        <v>10</v>
      </c>
      <c r="F3" s="29" t="s">
        <v>67</v>
      </c>
      <c r="G3" s="30" t="s">
        <v>68</v>
      </c>
    </row>
    <row r="4" customFormat="false" ht="15" hidden="false" customHeight="true" outlineLevel="0" collapsed="false">
      <c r="A4" s="26" t="s">
        <v>69</v>
      </c>
      <c r="B4" s="27" t="n">
        <v>412140</v>
      </c>
      <c r="C4" s="27" t="n">
        <v>319684</v>
      </c>
      <c r="D4" s="28" t="n">
        <f aca="false">C4/B4</f>
        <v>0.775668462173048</v>
      </c>
      <c r="E4" s="29" t="s">
        <v>10</v>
      </c>
      <c r="F4" s="29" t="s">
        <v>67</v>
      </c>
    </row>
    <row r="5" customFormat="false" ht="15" hidden="false" customHeight="true" outlineLevel="0" collapsed="false">
      <c r="A5" s="26" t="s">
        <v>70</v>
      </c>
      <c r="B5" s="27" t="n">
        <v>445418</v>
      </c>
      <c r="C5" s="27" t="n">
        <v>352812</v>
      </c>
      <c r="D5" s="28" t="n">
        <f aca="false">C5/B5</f>
        <v>0.79209192264345</v>
      </c>
      <c r="E5" s="29" t="s">
        <v>10</v>
      </c>
      <c r="F5" s="29" t="s">
        <v>67</v>
      </c>
    </row>
    <row r="6" customFormat="false" ht="15" hidden="false" customHeight="true" outlineLevel="0" collapsed="false">
      <c r="A6" s="26" t="s">
        <v>71</v>
      </c>
      <c r="B6" s="27" t="n">
        <v>438522</v>
      </c>
      <c r="C6" s="27" t="n">
        <v>320436</v>
      </c>
      <c r="D6" s="28" t="n">
        <f aca="false">C6/B6</f>
        <v>0.73071818517657</v>
      </c>
      <c r="E6" s="29" t="s">
        <v>10</v>
      </c>
      <c r="F6" s="29" t="s">
        <v>67</v>
      </c>
    </row>
    <row r="7" customFormat="false" ht="15" hidden="false" customHeight="true" outlineLevel="0" collapsed="false">
      <c r="A7" s="26" t="s">
        <v>72</v>
      </c>
      <c r="B7" s="27" t="n">
        <v>361495</v>
      </c>
      <c r="C7" s="27" t="n">
        <v>237592</v>
      </c>
      <c r="D7" s="28" t="n">
        <f aca="false">C7/B7</f>
        <v>0.657248371346768</v>
      </c>
      <c r="E7" s="29" t="s">
        <v>13</v>
      </c>
      <c r="F7" s="29" t="s">
        <v>67</v>
      </c>
      <c r="G7" s="30" t="s">
        <v>68</v>
      </c>
    </row>
    <row r="8" customFormat="false" ht="15" hidden="false" customHeight="true" outlineLevel="0" collapsed="false">
      <c r="A8" s="26" t="s">
        <v>73</v>
      </c>
      <c r="B8" s="27" t="n">
        <v>320918</v>
      </c>
      <c r="C8" s="27" t="n">
        <v>214737</v>
      </c>
      <c r="D8" s="28" t="n">
        <f aca="false">C8/B8</f>
        <v>0.669133548133791</v>
      </c>
      <c r="E8" s="29" t="s">
        <v>13</v>
      </c>
      <c r="F8" s="29" t="s">
        <v>67</v>
      </c>
    </row>
    <row r="9" customFormat="false" ht="15" hidden="false" customHeight="true" outlineLevel="0" collapsed="false">
      <c r="A9" s="26" t="s">
        <v>74</v>
      </c>
      <c r="B9" s="27" t="n">
        <v>340459</v>
      </c>
      <c r="C9" s="27" t="n">
        <v>238407</v>
      </c>
      <c r="D9" s="28" t="n">
        <f aca="false">C9/B9</f>
        <v>0.700251719002876</v>
      </c>
      <c r="E9" s="29" t="s">
        <v>13</v>
      </c>
      <c r="F9" s="29" t="s">
        <v>67</v>
      </c>
    </row>
    <row r="10" customFormat="false" ht="15" hidden="false" customHeight="true" outlineLevel="0" collapsed="false">
      <c r="A10" s="26" t="s">
        <v>75</v>
      </c>
      <c r="B10" s="27" t="n">
        <v>370128</v>
      </c>
      <c r="C10" s="27" t="n">
        <v>256504</v>
      </c>
      <c r="D10" s="28" t="n">
        <f aca="false">C10/B10</f>
        <v>0.693014308563524</v>
      </c>
      <c r="E10" s="29" t="s">
        <v>13</v>
      </c>
      <c r="F10" s="29" t="s">
        <v>67</v>
      </c>
    </row>
    <row r="11" customFormat="false" ht="15" hidden="false" customHeight="true" outlineLevel="0" collapsed="false">
      <c r="A11" s="26" t="s">
        <v>76</v>
      </c>
      <c r="B11" s="27" t="n">
        <v>851875</v>
      </c>
      <c r="C11" s="27" t="n">
        <v>640649</v>
      </c>
      <c r="D11" s="28" t="n">
        <f aca="false">C11/B11</f>
        <v>0.752045781364637</v>
      </c>
      <c r="E11" s="29" t="s">
        <v>15</v>
      </c>
      <c r="F11" s="29" t="s">
        <v>67</v>
      </c>
      <c r="G11" s="30" t="s">
        <v>68</v>
      </c>
    </row>
    <row r="12" customFormat="false" ht="15" hidden="false" customHeight="true" outlineLevel="0" collapsed="false">
      <c r="A12" s="26" t="s">
        <v>77</v>
      </c>
      <c r="B12" s="27" t="n">
        <v>947320</v>
      </c>
      <c r="C12" s="27" t="n">
        <v>704984</v>
      </c>
      <c r="D12" s="28" t="n">
        <f aca="false">C12/B12</f>
        <v>0.744187814043829</v>
      </c>
      <c r="E12" s="29" t="s">
        <v>15</v>
      </c>
      <c r="F12" s="29" t="s">
        <v>67</v>
      </c>
    </row>
    <row r="13" customFormat="false" ht="15" hidden="false" customHeight="true" outlineLevel="0" collapsed="false">
      <c r="A13" s="26" t="s">
        <v>78</v>
      </c>
      <c r="B13" s="27" t="n">
        <v>1004295</v>
      </c>
      <c r="C13" s="27" t="n">
        <v>721155</v>
      </c>
      <c r="D13" s="28" t="n">
        <f aca="false">C13/B13</f>
        <v>0.718070885546578</v>
      </c>
      <c r="E13" s="29" t="s">
        <v>15</v>
      </c>
      <c r="F13" s="29" t="s">
        <v>67</v>
      </c>
    </row>
    <row r="14" customFormat="false" ht="15" hidden="false" customHeight="true" outlineLevel="0" collapsed="false">
      <c r="A14" s="26" t="s">
        <v>79</v>
      </c>
      <c r="B14" s="27" t="n">
        <v>796510</v>
      </c>
      <c r="C14" s="27" t="n">
        <v>561212</v>
      </c>
      <c r="D14" s="28" t="n">
        <f aca="false">C14/B14</f>
        <v>0.704588768502593</v>
      </c>
      <c r="E14" s="29" t="s">
        <v>15</v>
      </c>
      <c r="F14" s="29" t="s">
        <v>67</v>
      </c>
    </row>
    <row r="15" customFormat="false" ht="15" hidden="false" customHeight="true" outlineLevel="0" collapsed="false">
      <c r="A15" s="26" t="s">
        <v>80</v>
      </c>
      <c r="B15" s="27" t="n">
        <v>1129975</v>
      </c>
      <c r="C15" s="27" t="n">
        <v>821258</v>
      </c>
      <c r="D15" s="28" t="n">
        <f aca="false">C15/B15</f>
        <v>0.726793070643156</v>
      </c>
      <c r="E15" s="29" t="s">
        <v>17</v>
      </c>
      <c r="F15" s="29" t="s">
        <v>67</v>
      </c>
      <c r="G15" s="30" t="s">
        <v>68</v>
      </c>
    </row>
    <row r="16" customFormat="false" ht="15" hidden="false" customHeight="true" outlineLevel="0" collapsed="false">
      <c r="A16" s="26" t="s">
        <v>81</v>
      </c>
      <c r="B16" s="27" t="n">
        <v>955901</v>
      </c>
      <c r="C16" s="27" t="n">
        <v>678375</v>
      </c>
      <c r="D16" s="28" t="n">
        <f aca="false">C16/B16</f>
        <v>0.709670771345568</v>
      </c>
      <c r="E16" s="29" t="s">
        <v>17</v>
      </c>
      <c r="F16" s="29" t="s">
        <v>67</v>
      </c>
    </row>
    <row r="17" customFormat="false" ht="15" hidden="false" customHeight="true" outlineLevel="0" collapsed="false">
      <c r="A17" s="26" t="s">
        <v>82</v>
      </c>
      <c r="B17" s="27" t="n">
        <v>887505</v>
      </c>
      <c r="C17" s="27" t="n">
        <v>642516</v>
      </c>
      <c r="D17" s="28" t="n">
        <f aca="false">C17/B17</f>
        <v>0.723957611506414</v>
      </c>
      <c r="E17" s="29" t="s">
        <v>17</v>
      </c>
      <c r="F17" s="29" t="s">
        <v>67</v>
      </c>
    </row>
    <row r="18" customFormat="false" ht="15" hidden="false" customHeight="true" outlineLevel="0" collapsed="false">
      <c r="A18" s="26" t="s">
        <v>83</v>
      </c>
      <c r="B18" s="27" t="n">
        <v>888619</v>
      </c>
      <c r="C18" s="27" t="n">
        <v>638491</v>
      </c>
      <c r="D18" s="28" t="n">
        <f aca="false">C18/B18</f>
        <v>0.718520535797682</v>
      </c>
      <c r="E18" s="29" t="s">
        <v>17</v>
      </c>
      <c r="F18" s="29" t="s">
        <v>67</v>
      </c>
    </row>
    <row r="19" customFormat="false" ht="15" hidden="false" customHeight="true" outlineLevel="0" collapsed="false">
      <c r="A19" s="26" t="s">
        <v>84</v>
      </c>
      <c r="B19" s="27" t="n">
        <v>1212708</v>
      </c>
      <c r="C19" s="27" t="n">
        <v>907275</v>
      </c>
      <c r="D19" s="28" t="n">
        <f aca="false">C19/B19</f>
        <v>0.748139700570954</v>
      </c>
      <c r="E19" s="29" t="s">
        <v>18</v>
      </c>
      <c r="F19" s="29" t="s">
        <v>67</v>
      </c>
      <c r="G19" s="30" t="s">
        <v>68</v>
      </c>
    </row>
    <row r="20" customFormat="false" ht="15" hidden="false" customHeight="true" outlineLevel="0" collapsed="false">
      <c r="A20" s="26" t="s">
        <v>85</v>
      </c>
      <c r="B20" s="27" t="n">
        <v>1359568</v>
      </c>
      <c r="C20" s="27" t="n">
        <v>996380</v>
      </c>
      <c r="D20" s="28" t="n">
        <f aca="false">C20/B20</f>
        <v>0.732865145399127</v>
      </c>
      <c r="E20" s="29" t="s">
        <v>18</v>
      </c>
      <c r="F20" s="29" t="s">
        <v>67</v>
      </c>
    </row>
    <row r="21" customFormat="false" ht="15" hidden="false" customHeight="true" outlineLevel="0" collapsed="false">
      <c r="A21" s="26" t="s">
        <v>86</v>
      </c>
      <c r="B21" s="27" t="n">
        <v>1159700</v>
      </c>
      <c r="C21" s="27" t="n">
        <v>870330</v>
      </c>
      <c r="D21" s="28" t="n">
        <f aca="false">C21/B21</f>
        <v>0.750478572044494</v>
      </c>
      <c r="E21" s="29" t="s">
        <v>18</v>
      </c>
      <c r="F21" s="29" t="s">
        <v>67</v>
      </c>
    </row>
    <row r="22" customFormat="false" ht="15" hidden="false" customHeight="true" outlineLevel="0" collapsed="false">
      <c r="A22" s="26" t="s">
        <v>87</v>
      </c>
      <c r="B22" s="27" t="n">
        <v>1218024</v>
      </c>
      <c r="C22" s="27" t="n">
        <v>889015</v>
      </c>
      <c r="D22" s="28" t="n">
        <f aca="false">C22/B22</f>
        <v>0.729882990811347</v>
      </c>
      <c r="E22" s="29" t="s">
        <v>18</v>
      </c>
      <c r="F22" s="29" t="s">
        <v>67</v>
      </c>
    </row>
    <row r="23" customFormat="false" ht="15" hidden="false" customHeight="true" outlineLevel="0" collapsed="false">
      <c r="A23" s="26" t="s">
        <v>88</v>
      </c>
      <c r="B23" s="27" t="n">
        <v>1887527</v>
      </c>
      <c r="C23" s="27" t="n">
        <v>1421243</v>
      </c>
      <c r="D23" s="28" t="n">
        <f aca="false">C23/B23</f>
        <v>0.752965652941653</v>
      </c>
      <c r="E23" s="29" t="s">
        <v>20</v>
      </c>
      <c r="F23" s="29" t="s">
        <v>67</v>
      </c>
      <c r="G23" s="30" t="s">
        <v>68</v>
      </c>
    </row>
    <row r="24" customFormat="false" ht="15" hidden="false" customHeight="true" outlineLevel="0" collapsed="false">
      <c r="A24" s="26" t="s">
        <v>89</v>
      </c>
      <c r="B24" s="27" t="n">
        <v>1558236</v>
      </c>
      <c r="C24" s="27" t="n">
        <v>1192037</v>
      </c>
      <c r="D24" s="28" t="n">
        <f aca="false">C24/B24</f>
        <v>0.764991310687213</v>
      </c>
      <c r="E24" s="29" t="s">
        <v>20</v>
      </c>
      <c r="F24" s="29" t="s">
        <v>67</v>
      </c>
    </row>
    <row r="25" customFormat="false" ht="15" hidden="false" customHeight="true" outlineLevel="0" collapsed="false">
      <c r="A25" s="26" t="s">
        <v>90</v>
      </c>
      <c r="B25" s="27" t="n">
        <v>1649250</v>
      </c>
      <c r="C25" s="27" t="n">
        <v>1244578</v>
      </c>
      <c r="D25" s="28" t="n">
        <f aca="false">C25/B25</f>
        <v>0.754632711838715</v>
      </c>
      <c r="E25" s="29" t="s">
        <v>20</v>
      </c>
      <c r="F25" s="29" t="s">
        <v>67</v>
      </c>
    </row>
    <row r="26" customFormat="false" ht="15" hidden="false" customHeight="true" outlineLevel="0" collapsed="false">
      <c r="A26" s="26" t="s">
        <v>91</v>
      </c>
      <c r="B26" s="27" t="n">
        <v>1679987</v>
      </c>
      <c r="C26" s="27" t="n">
        <v>1291142</v>
      </c>
      <c r="D26" s="28" t="n">
        <f aca="false">C26/B26</f>
        <v>0.768542851819687</v>
      </c>
      <c r="E26" s="29" t="s">
        <v>20</v>
      </c>
      <c r="F26" s="29" t="s">
        <v>67</v>
      </c>
    </row>
    <row r="27" customFormat="false" ht="15" hidden="false" customHeight="true" outlineLevel="0" collapsed="false">
      <c r="A27" s="26" t="s">
        <v>92</v>
      </c>
      <c r="B27" s="27" t="n">
        <v>1009262</v>
      </c>
      <c r="C27" s="27" t="n">
        <v>711871</v>
      </c>
      <c r="D27" s="28" t="n">
        <f aca="false">C27/B27</f>
        <v>0.705338157980782</v>
      </c>
      <c r="E27" s="29" t="s">
        <v>22</v>
      </c>
      <c r="F27" s="29" t="s">
        <v>67</v>
      </c>
      <c r="G27" s="30" t="s">
        <v>68</v>
      </c>
    </row>
    <row r="28" customFormat="false" ht="15" hidden="false" customHeight="true" outlineLevel="0" collapsed="false">
      <c r="A28" s="26" t="s">
        <v>93</v>
      </c>
      <c r="B28" s="27" t="n">
        <v>935523</v>
      </c>
      <c r="C28" s="27" t="n">
        <v>705103</v>
      </c>
      <c r="D28" s="28" t="n">
        <f aca="false">C28/B28</f>
        <v>0.753699267682355</v>
      </c>
      <c r="E28" s="29" t="s">
        <v>22</v>
      </c>
      <c r="F28" s="29" t="s">
        <v>67</v>
      </c>
    </row>
    <row r="29" customFormat="false" ht="15" hidden="false" customHeight="true" outlineLevel="0" collapsed="false">
      <c r="A29" s="26" t="s">
        <v>94</v>
      </c>
      <c r="B29" s="27" t="n">
        <v>936979</v>
      </c>
      <c r="C29" s="27" t="n">
        <v>686671</v>
      </c>
      <c r="D29" s="28" t="n">
        <f aca="false">C29/B29</f>
        <v>0.732856339362995</v>
      </c>
      <c r="E29" s="29" t="s">
        <v>22</v>
      </c>
      <c r="F29" s="29" t="s">
        <v>67</v>
      </c>
    </row>
    <row r="30" customFormat="false" ht="15" hidden="false" customHeight="true" outlineLevel="0" collapsed="false">
      <c r="A30" s="26" t="s">
        <v>95</v>
      </c>
      <c r="B30" s="27" t="n">
        <v>893236</v>
      </c>
      <c r="C30" s="27" t="n">
        <v>652105</v>
      </c>
      <c r="D30" s="28" t="n">
        <f aca="false">C30/B30</f>
        <v>0.730047826106427</v>
      </c>
      <c r="E30" s="29" t="s">
        <v>22</v>
      </c>
      <c r="F30" s="29" t="s">
        <v>67</v>
      </c>
    </row>
    <row r="31" customFormat="false" ht="15" hidden="false" customHeight="true" outlineLevel="0" collapsed="false">
      <c r="A31" s="26" t="s">
        <v>96</v>
      </c>
      <c r="B31" s="27" t="n">
        <v>813190</v>
      </c>
      <c r="C31" s="27" t="n">
        <v>691276</v>
      </c>
      <c r="D31" s="28" t="n">
        <f aca="false">C31/B31</f>
        <v>0.85007931725673</v>
      </c>
      <c r="E31" s="29" t="s">
        <v>24</v>
      </c>
      <c r="F31" s="29" t="s">
        <v>67</v>
      </c>
      <c r="G31" s="30" t="s">
        <v>68</v>
      </c>
    </row>
    <row r="32" customFormat="false" ht="15" hidden="false" customHeight="true" outlineLevel="0" collapsed="false">
      <c r="A32" s="26" t="s">
        <v>97</v>
      </c>
      <c r="B32" s="27" t="n">
        <v>953126</v>
      </c>
      <c r="C32" s="27" t="n">
        <v>783235</v>
      </c>
      <c r="D32" s="28" t="n">
        <f aca="false">C32/B32</f>
        <v>0.821753891930343</v>
      </c>
      <c r="E32" s="29" t="s">
        <v>24</v>
      </c>
      <c r="F32" s="29" t="s">
        <v>67</v>
      </c>
    </row>
    <row r="33" customFormat="false" ht="15" hidden="false" customHeight="true" outlineLevel="0" collapsed="false">
      <c r="A33" s="26" t="s">
        <v>98</v>
      </c>
      <c r="B33" s="27" t="n">
        <v>811250</v>
      </c>
      <c r="C33" s="27" t="n">
        <v>661188</v>
      </c>
      <c r="D33" s="28" t="n">
        <f aca="false">C33/B33</f>
        <v>0.815023728813559</v>
      </c>
      <c r="E33" s="29" t="s">
        <v>24</v>
      </c>
      <c r="F33" s="29" t="s">
        <v>67</v>
      </c>
    </row>
    <row r="34" customFormat="false" ht="15" hidden="false" customHeight="true" outlineLevel="0" collapsed="false">
      <c r="A34" s="26" t="s">
        <v>99</v>
      </c>
      <c r="B34" s="27" t="n">
        <v>865434</v>
      </c>
      <c r="C34" s="27" t="n">
        <v>714301</v>
      </c>
      <c r="D34" s="28" t="n">
        <f aca="false">C34/B34</f>
        <v>0.825367387923285</v>
      </c>
      <c r="E34" s="29" t="s">
        <v>24</v>
      </c>
      <c r="F34" s="29" t="s">
        <v>67</v>
      </c>
    </row>
    <row r="35" customFormat="false" ht="15" hidden="false" customHeight="true" outlineLevel="0" collapsed="false">
      <c r="A35" s="26" t="s">
        <v>100</v>
      </c>
      <c r="B35" s="27" t="n">
        <v>1041729</v>
      </c>
      <c r="C35" s="27" t="n">
        <v>839735</v>
      </c>
      <c r="D35" s="28" t="n">
        <f aca="false">C35/B35</f>
        <v>0.80609736313379</v>
      </c>
      <c r="E35" s="29" t="s">
        <v>25</v>
      </c>
      <c r="F35" s="29" t="s">
        <v>67</v>
      </c>
      <c r="G35" s="30" t="s">
        <v>68</v>
      </c>
    </row>
    <row r="36" customFormat="false" ht="15" hidden="false" customHeight="true" outlineLevel="0" collapsed="false">
      <c r="A36" s="26" t="s">
        <v>101</v>
      </c>
      <c r="B36" s="27" t="n">
        <v>1023937</v>
      </c>
      <c r="C36" s="27" t="n">
        <v>821381</v>
      </c>
      <c r="D36" s="28" t="n">
        <f aca="false">C36/B36</f>
        <v>0.802179235636568</v>
      </c>
      <c r="E36" s="29" t="s">
        <v>25</v>
      </c>
      <c r="F36" s="29" t="s">
        <v>67</v>
      </c>
    </row>
    <row r="37" customFormat="false" ht="15" hidden="false" customHeight="true" outlineLevel="0" collapsed="false">
      <c r="A37" s="26" t="s">
        <v>102</v>
      </c>
      <c r="B37" s="27" t="n">
        <v>878374</v>
      </c>
      <c r="C37" s="27" t="n">
        <v>700519</v>
      </c>
      <c r="D37" s="28" t="n">
        <f aca="false">C37/B37</f>
        <v>0.797517913781601</v>
      </c>
      <c r="E37" s="29" t="s">
        <v>25</v>
      </c>
      <c r="F37" s="29" t="s">
        <v>67</v>
      </c>
    </row>
    <row r="38" customFormat="false" ht="15" hidden="false" customHeight="true" outlineLevel="0" collapsed="false">
      <c r="A38" s="26" t="s">
        <v>103</v>
      </c>
      <c r="B38" s="27" t="n">
        <v>825960</v>
      </c>
      <c r="C38" s="27" t="n">
        <v>708365</v>
      </c>
      <c r="D38" s="28" t="n">
        <f aca="false">C38/B38</f>
        <v>0.857626277301564</v>
      </c>
      <c r="E38" s="29" t="s">
        <v>25</v>
      </c>
      <c r="F38" s="29" t="s">
        <v>67</v>
      </c>
    </row>
    <row r="39" customFormat="false" ht="15" hidden="false" customHeight="true" outlineLevel="0" collapsed="false">
      <c r="A39" s="26" t="s">
        <v>104</v>
      </c>
      <c r="B39" s="27" t="n">
        <v>1024461</v>
      </c>
      <c r="C39" s="27" t="n">
        <v>800909</v>
      </c>
      <c r="D39" s="28" t="n">
        <f aca="false">C39/B39</f>
        <v>0.781785739037406</v>
      </c>
      <c r="E39" s="29" t="s">
        <v>26</v>
      </c>
      <c r="F39" s="29" t="s">
        <v>67</v>
      </c>
      <c r="G39" s="30" t="s">
        <v>68</v>
      </c>
    </row>
    <row r="40" customFormat="false" ht="15" hidden="false" customHeight="true" outlineLevel="0" collapsed="false">
      <c r="A40" s="26" t="s">
        <v>105</v>
      </c>
      <c r="B40" s="27" t="n">
        <v>878701</v>
      </c>
      <c r="C40" s="27" t="n">
        <v>656898</v>
      </c>
      <c r="D40" s="28" t="n">
        <f aca="false">C40/B40</f>
        <v>0.747578527849633</v>
      </c>
      <c r="E40" s="29" t="s">
        <v>26</v>
      </c>
      <c r="F40" s="29" t="s">
        <v>67</v>
      </c>
    </row>
    <row r="41" customFormat="false" ht="15" hidden="false" customHeight="true" outlineLevel="0" collapsed="false">
      <c r="A41" s="26" t="s">
        <v>106</v>
      </c>
      <c r="B41" s="27" t="n">
        <v>967129</v>
      </c>
      <c r="C41" s="27" t="n">
        <v>708923</v>
      </c>
      <c r="D41" s="28" t="n">
        <f aca="false">C41/B41</f>
        <v>0.733018035856644</v>
      </c>
      <c r="E41" s="29" t="s">
        <v>26</v>
      </c>
      <c r="F41" s="29" t="s">
        <v>67</v>
      </c>
    </row>
    <row r="42" customFormat="false" ht="15" hidden="false" customHeight="true" outlineLevel="0" collapsed="false">
      <c r="A42" s="26" t="s">
        <v>107</v>
      </c>
      <c r="B42" s="27" t="n">
        <v>899709</v>
      </c>
      <c r="C42" s="27" t="n">
        <v>658270</v>
      </c>
      <c r="D42" s="28" t="n">
        <f aca="false">C42/B42</f>
        <v>0.731647677193404</v>
      </c>
      <c r="E42" s="29" t="s">
        <v>26</v>
      </c>
      <c r="F42" s="29" t="s">
        <v>67</v>
      </c>
    </row>
    <row r="43" customFormat="false" ht="15" hidden="false" customHeight="true" outlineLevel="0" collapsed="false">
      <c r="A43" s="26" t="s">
        <v>108</v>
      </c>
      <c r="B43" s="27" t="n">
        <v>796653</v>
      </c>
      <c r="C43" s="27" t="n">
        <v>549954</v>
      </c>
      <c r="D43" s="28" t="n">
        <f aca="false">C43/B43</f>
        <v>0.690330670944564</v>
      </c>
      <c r="E43" s="29" t="s">
        <v>28</v>
      </c>
      <c r="F43" s="29" t="s">
        <v>67</v>
      </c>
      <c r="G43" s="30" t="s">
        <v>68</v>
      </c>
    </row>
    <row r="44" customFormat="false" ht="15" hidden="false" customHeight="true" outlineLevel="0" collapsed="false">
      <c r="A44" s="26" t="s">
        <v>109</v>
      </c>
      <c r="B44" s="27" t="n">
        <v>731166</v>
      </c>
      <c r="C44" s="27" t="n">
        <v>495564</v>
      </c>
      <c r="D44" s="28" t="n">
        <f aca="false">C44/B44</f>
        <v>0.677772215885312</v>
      </c>
      <c r="E44" s="29" t="s">
        <v>28</v>
      </c>
      <c r="F44" s="29" t="s">
        <v>67</v>
      </c>
    </row>
    <row r="45" customFormat="false" ht="15" hidden="false" customHeight="true" outlineLevel="0" collapsed="false">
      <c r="A45" s="26" t="s">
        <v>110</v>
      </c>
      <c r="B45" s="27" t="n">
        <v>801745</v>
      </c>
      <c r="C45" s="27" t="n">
        <v>586910</v>
      </c>
      <c r="D45" s="28" t="n">
        <f aca="false">C45/B45</f>
        <v>0.732040736144285</v>
      </c>
      <c r="E45" s="29" t="s">
        <v>28</v>
      </c>
      <c r="F45" s="29" t="s">
        <v>67</v>
      </c>
    </row>
    <row r="46" customFormat="false" ht="15" hidden="false" customHeight="true" outlineLevel="0" collapsed="false">
      <c r="A46" s="26" t="s">
        <v>111</v>
      </c>
      <c r="B46" s="27" t="n">
        <v>870436</v>
      </c>
      <c r="C46" s="27" t="n">
        <v>607572</v>
      </c>
      <c r="D46" s="28" t="n">
        <f aca="false">C46/B46</f>
        <v>0.698008813973687</v>
      </c>
      <c r="E46" s="29" t="s">
        <v>28</v>
      </c>
      <c r="F46" s="29" t="s">
        <v>67</v>
      </c>
    </row>
    <row r="47" customFormat="false" ht="15" hidden="false" customHeight="true" outlineLevel="0" collapsed="false">
      <c r="A47" s="31" t="s">
        <v>112</v>
      </c>
      <c r="B47" s="7" t="n">
        <v>200000</v>
      </c>
      <c r="C47" s="7" t="n">
        <v>132648</v>
      </c>
      <c r="D47" s="8" t="n">
        <f aca="false">C47/B47</f>
        <v>0.66324</v>
      </c>
      <c r="E47" s="6" t="s">
        <v>30</v>
      </c>
      <c r="F47" s="6" t="s">
        <v>67</v>
      </c>
      <c r="G47" s="9" t="s">
        <v>113</v>
      </c>
    </row>
    <row r="48" customFormat="false" ht="15" hidden="false" customHeight="true" outlineLevel="0" collapsed="false">
      <c r="A48" s="31" t="s">
        <v>114</v>
      </c>
      <c r="B48" s="7" t="n">
        <v>500000</v>
      </c>
      <c r="C48" s="7" t="n">
        <v>386891</v>
      </c>
      <c r="D48" s="8" t="n">
        <f aca="false">C48/B48</f>
        <v>0.773782</v>
      </c>
      <c r="E48" s="6" t="s">
        <v>30</v>
      </c>
      <c r="F48" s="6" t="s">
        <v>67</v>
      </c>
    </row>
    <row r="49" customFormat="false" ht="15" hidden="false" customHeight="true" outlineLevel="0" collapsed="false">
      <c r="A49" s="31" t="s">
        <v>115</v>
      </c>
      <c r="B49" s="7" t="n">
        <v>589940</v>
      </c>
      <c r="C49" s="7" t="n">
        <v>383461</v>
      </c>
      <c r="D49" s="8" t="n">
        <f aca="false">C49/B49</f>
        <v>0.65</v>
      </c>
      <c r="E49" s="6" t="s">
        <v>30</v>
      </c>
      <c r="F49" s="6" t="s">
        <v>12</v>
      </c>
      <c r="G49" s="9" t="s">
        <v>116</v>
      </c>
    </row>
    <row r="50" customFormat="false" ht="15" hidden="false" customHeight="true" outlineLevel="0" collapsed="false">
      <c r="A50" s="31" t="s">
        <v>117</v>
      </c>
      <c r="B50" s="7" t="n">
        <v>684615</v>
      </c>
      <c r="C50" s="7" t="n">
        <v>45300</v>
      </c>
      <c r="D50" s="8" t="n">
        <f aca="false">C50/B50</f>
        <v>0.0661685764992003</v>
      </c>
      <c r="E50" s="6" t="s">
        <v>32</v>
      </c>
      <c r="F50" s="6" t="s">
        <v>12</v>
      </c>
      <c r="G50" s="9" t="s">
        <v>118</v>
      </c>
    </row>
    <row r="51" customFormat="false" ht="15" hidden="false" customHeight="true" outlineLevel="0" collapsed="false">
      <c r="A51" s="26" t="s">
        <v>119</v>
      </c>
      <c r="B51" s="27" t="n">
        <v>514212</v>
      </c>
      <c r="C51" s="27" t="n">
        <v>452661</v>
      </c>
      <c r="D51" s="28" t="n">
        <f aca="false">C51/B51</f>
        <v>0.88030034304917</v>
      </c>
      <c r="E51" s="29" t="s">
        <v>32</v>
      </c>
      <c r="F51" s="29" t="s">
        <v>67</v>
      </c>
      <c r="G51" s="30" t="s">
        <v>120</v>
      </c>
    </row>
    <row r="52" customFormat="false" ht="15" hidden="false" customHeight="true" outlineLevel="0" collapsed="false">
      <c r="A52" s="26" t="s">
        <v>121</v>
      </c>
      <c r="B52" s="27" t="n">
        <v>477753</v>
      </c>
      <c r="C52" s="27" t="n">
        <v>433340</v>
      </c>
      <c r="D52" s="28" t="n">
        <f aca="false">C52/B52</f>
        <v>0.907037737073341</v>
      </c>
      <c r="E52" s="29" t="s">
        <v>32</v>
      </c>
      <c r="F52" s="29" t="s">
        <v>67</v>
      </c>
    </row>
    <row r="53" customFormat="false" ht="15" hidden="false" customHeight="true" outlineLevel="0" collapsed="false">
      <c r="A53" s="26" t="s">
        <v>122</v>
      </c>
      <c r="B53" s="27" t="n">
        <v>523921</v>
      </c>
      <c r="C53" s="27" t="n">
        <v>507270</v>
      </c>
      <c r="D53" s="28" t="n">
        <f aca="false">C53/B53</f>
        <v>0.968218490955698</v>
      </c>
      <c r="E53" s="29" t="s">
        <v>32</v>
      </c>
      <c r="F53" s="29" t="s">
        <v>67</v>
      </c>
    </row>
    <row r="54" customFormat="false" ht="15" hidden="false" customHeight="true" outlineLevel="0" collapsed="false">
      <c r="A54" s="26" t="s">
        <v>123</v>
      </c>
      <c r="B54" s="27" t="n">
        <v>539499</v>
      </c>
      <c r="C54" s="27" t="n">
        <v>479429</v>
      </c>
      <c r="D54" s="28" t="n">
        <f aca="false">C54/B54</f>
        <v>0.888655956730226</v>
      </c>
      <c r="E54" s="29" t="s">
        <v>32</v>
      </c>
      <c r="F54" s="29" t="s">
        <v>67</v>
      </c>
    </row>
    <row r="55" customFormat="false" ht="15" hidden="false" customHeight="true" outlineLevel="0" collapsed="false">
      <c r="A55" s="26" t="s">
        <v>124</v>
      </c>
      <c r="B55" s="27" t="n">
        <v>731269</v>
      </c>
      <c r="C55" s="27" t="n">
        <v>489897</v>
      </c>
      <c r="D55" s="28" t="n">
        <f aca="false">C55/B55</f>
        <v>0.669927208728936</v>
      </c>
      <c r="E55" s="29" t="s">
        <v>34</v>
      </c>
      <c r="F55" s="29" t="s">
        <v>67</v>
      </c>
      <c r="G55" s="30" t="s">
        <v>120</v>
      </c>
    </row>
    <row r="56" customFormat="false" ht="15" hidden="false" customHeight="true" outlineLevel="0" collapsed="false">
      <c r="A56" s="26" t="s">
        <v>125</v>
      </c>
      <c r="B56" s="27" t="n">
        <v>701067</v>
      </c>
      <c r="C56" s="27" t="n">
        <v>503869</v>
      </c>
      <c r="D56" s="28" t="n">
        <f aca="false">C56/B56</f>
        <v>0.718717326589327</v>
      </c>
      <c r="E56" s="29" t="s">
        <v>34</v>
      </c>
      <c r="F56" s="29" t="s">
        <v>67</v>
      </c>
    </row>
    <row r="57" customFormat="false" ht="15" hidden="false" customHeight="true" outlineLevel="0" collapsed="false">
      <c r="A57" s="26" t="s">
        <v>126</v>
      </c>
      <c r="B57" s="27" t="n">
        <v>672525</v>
      </c>
      <c r="C57" s="27" t="n">
        <v>462207</v>
      </c>
      <c r="D57" s="28" t="n">
        <f aca="false">C57/B57</f>
        <v>0.687271105163377</v>
      </c>
      <c r="E57" s="29" t="s">
        <v>34</v>
      </c>
      <c r="F57" s="29" t="s">
        <v>67</v>
      </c>
    </row>
    <row r="58" customFormat="false" ht="15" hidden="false" customHeight="true" outlineLevel="0" collapsed="false">
      <c r="A58" s="26" t="s">
        <v>127</v>
      </c>
      <c r="B58" s="27" t="n">
        <v>765139</v>
      </c>
      <c r="C58" s="27" t="n">
        <v>553027</v>
      </c>
      <c r="D58" s="28" t="n">
        <f aca="false">C58/B58</f>
        <v>0.722779782497036</v>
      </c>
      <c r="E58" s="29" t="s">
        <v>34</v>
      </c>
      <c r="F58" s="29" t="s">
        <v>67</v>
      </c>
    </row>
    <row r="59" customFormat="false" ht="15" hidden="false" customHeight="true" outlineLevel="0" collapsed="false">
      <c r="A59" s="26" t="s">
        <v>128</v>
      </c>
      <c r="B59" s="27" t="n">
        <v>608305</v>
      </c>
      <c r="C59" s="27" t="n">
        <v>440015</v>
      </c>
      <c r="D59" s="28" t="n">
        <f aca="false">C59/B59</f>
        <v>0.723346018855673</v>
      </c>
      <c r="E59" s="29" t="s">
        <v>36</v>
      </c>
      <c r="F59" s="29" t="s">
        <v>67</v>
      </c>
      <c r="G59" s="30" t="s">
        <v>120</v>
      </c>
    </row>
    <row r="60" customFormat="false" ht="15" hidden="false" customHeight="true" outlineLevel="0" collapsed="false">
      <c r="A60" s="26" t="s">
        <v>129</v>
      </c>
      <c r="B60" s="27" t="n">
        <v>684207</v>
      </c>
      <c r="C60" s="27" t="n">
        <v>454233</v>
      </c>
      <c r="D60" s="28" t="n">
        <f aca="false">C60/B60</f>
        <v>0.663882421547865</v>
      </c>
      <c r="E60" s="29" t="s">
        <v>36</v>
      </c>
      <c r="F60" s="29" t="s">
        <v>67</v>
      </c>
    </row>
    <row r="61" customFormat="false" ht="15" hidden="false" customHeight="true" outlineLevel="0" collapsed="false">
      <c r="A61" s="26" t="s">
        <v>130</v>
      </c>
      <c r="B61" s="27" t="n">
        <v>683742</v>
      </c>
      <c r="C61" s="27" t="n">
        <v>502176</v>
      </c>
      <c r="D61" s="28" t="n">
        <f aca="false">C61/B61</f>
        <v>0.734452468913713</v>
      </c>
      <c r="E61" s="29" t="s">
        <v>36</v>
      </c>
      <c r="F61" s="29" t="s">
        <v>67</v>
      </c>
    </row>
    <row r="62" customFormat="false" ht="15" hidden="false" customHeight="true" outlineLevel="0" collapsed="false">
      <c r="A62" s="26" t="s">
        <v>131</v>
      </c>
      <c r="B62" s="27" t="n">
        <v>623746</v>
      </c>
      <c r="C62" s="27" t="n">
        <v>423576</v>
      </c>
      <c r="D62" s="28" t="n">
        <f aca="false">C62/B62</f>
        <v>0.679084114367066</v>
      </c>
      <c r="E62" s="29" t="s">
        <v>36</v>
      </c>
      <c r="F62" s="29" t="s">
        <v>67</v>
      </c>
    </row>
    <row r="63" customFormat="false" ht="15" hidden="false" customHeight="true" outlineLevel="0" collapsed="false">
      <c r="A63" s="26" t="s">
        <v>132</v>
      </c>
      <c r="B63" s="27" t="n">
        <v>716581</v>
      </c>
      <c r="C63" s="27" t="n">
        <v>486087</v>
      </c>
      <c r="D63" s="28" t="n">
        <f aca="false">C63/B63</f>
        <v>0.678342015766536</v>
      </c>
      <c r="E63" s="29" t="s">
        <v>38</v>
      </c>
      <c r="F63" s="29" t="s">
        <v>67</v>
      </c>
      <c r="G63" s="30" t="s">
        <v>120</v>
      </c>
    </row>
    <row r="64" customFormat="false" ht="15" hidden="false" customHeight="true" outlineLevel="0" collapsed="false">
      <c r="A64" s="26" t="s">
        <v>133</v>
      </c>
      <c r="B64" s="27" t="n">
        <v>603069</v>
      </c>
      <c r="C64" s="27" t="n">
        <v>394733</v>
      </c>
      <c r="D64" s="28" t="n">
        <f aca="false">C64/B64</f>
        <v>0.654540359395028</v>
      </c>
      <c r="E64" s="29" t="s">
        <v>38</v>
      </c>
      <c r="F64" s="29" t="s">
        <v>67</v>
      </c>
    </row>
    <row r="65" customFormat="false" ht="15" hidden="false" customHeight="true" outlineLevel="0" collapsed="false">
      <c r="A65" s="26" t="s">
        <v>134</v>
      </c>
      <c r="B65" s="27" t="n">
        <v>702174</v>
      </c>
      <c r="C65" s="27" t="n">
        <v>494925</v>
      </c>
      <c r="D65" s="28" t="n">
        <f aca="false">C65/B65</f>
        <v>0.704846661938494</v>
      </c>
      <c r="E65" s="29" t="s">
        <v>38</v>
      </c>
      <c r="F65" s="29" t="s">
        <v>67</v>
      </c>
    </row>
    <row r="66" customFormat="false" ht="15" hidden="false" customHeight="true" outlineLevel="0" collapsed="false">
      <c r="A66" s="26" t="s">
        <v>135</v>
      </c>
      <c r="B66" s="27" t="n">
        <v>696874</v>
      </c>
      <c r="C66" s="27" t="n">
        <v>499902</v>
      </c>
      <c r="D66" s="28" t="n">
        <f aca="false">C66/B66</f>
        <v>0.717349190814982</v>
      </c>
      <c r="E66" s="29" t="s">
        <v>38</v>
      </c>
      <c r="F66" s="29" t="s">
        <v>67</v>
      </c>
    </row>
    <row r="67" customFormat="false" ht="15" hidden="false" customHeight="true" outlineLevel="0" collapsed="false">
      <c r="A67" s="26" t="s">
        <v>136</v>
      </c>
      <c r="B67" s="27" t="n">
        <v>661302</v>
      </c>
      <c r="C67" s="27" t="n">
        <v>490353</v>
      </c>
      <c r="D67" s="28" t="n">
        <f aca="false">C67/B67</f>
        <v>0.741496320894236</v>
      </c>
      <c r="E67" s="29" t="s">
        <v>38</v>
      </c>
      <c r="F67" s="29" t="s">
        <v>67</v>
      </c>
    </row>
    <row r="68" customFormat="false" ht="15" hidden="false" customHeight="true" outlineLevel="0" collapsed="false">
      <c r="A68" s="26" t="s">
        <v>137</v>
      </c>
      <c r="B68" s="27" t="n">
        <v>634057</v>
      </c>
      <c r="C68" s="27" t="n">
        <v>450434</v>
      </c>
      <c r="D68" s="28" t="n">
        <f aca="false">C68/B68</f>
        <v>0.710399853640919</v>
      </c>
      <c r="E68" s="29" t="s">
        <v>40</v>
      </c>
      <c r="F68" s="29" t="s">
        <v>67</v>
      </c>
      <c r="G68" s="30" t="s">
        <v>120</v>
      </c>
    </row>
    <row r="69" customFormat="false" ht="15" hidden="false" customHeight="true" outlineLevel="0" collapsed="false">
      <c r="A69" s="26" t="s">
        <v>138</v>
      </c>
      <c r="B69" s="27" t="n">
        <v>692656</v>
      </c>
      <c r="C69" s="27" t="n">
        <v>496701</v>
      </c>
      <c r="D69" s="28" t="n">
        <f aca="false">C69/B69</f>
        <v>0.717096220923518</v>
      </c>
      <c r="E69" s="29" t="s">
        <v>40</v>
      </c>
      <c r="F69" s="29" t="s">
        <v>67</v>
      </c>
    </row>
    <row r="70" customFormat="false" ht="15" hidden="false" customHeight="true" outlineLevel="0" collapsed="false">
      <c r="A70" s="26" t="s">
        <v>139</v>
      </c>
      <c r="B70" s="27" t="n">
        <v>696855</v>
      </c>
      <c r="C70" s="27" t="n">
        <v>496822</v>
      </c>
      <c r="D70" s="28" t="n">
        <f aca="false">C70/B70</f>
        <v>0.71294889180676</v>
      </c>
      <c r="E70" s="29" t="s">
        <v>40</v>
      </c>
      <c r="F70" s="29" t="s">
        <v>67</v>
      </c>
    </row>
    <row r="71" customFormat="false" ht="15" hidden="false" customHeight="true" outlineLevel="0" collapsed="false">
      <c r="A71" s="26" t="s">
        <v>140</v>
      </c>
      <c r="B71" s="27" t="n">
        <v>676432</v>
      </c>
      <c r="C71" s="27" t="n">
        <v>446043</v>
      </c>
      <c r="D71" s="28" t="n">
        <f aca="false">C71/B71</f>
        <v>0.65940552782837</v>
      </c>
      <c r="E71" s="29" t="s">
        <v>40</v>
      </c>
      <c r="F71" s="29" t="s">
        <v>67</v>
      </c>
    </row>
    <row r="72" customFormat="false" ht="15" hidden="false" customHeight="true" outlineLevel="0" collapsed="false">
      <c r="A72" s="26" t="s">
        <v>141</v>
      </c>
      <c r="B72" s="27" t="n">
        <v>806835</v>
      </c>
      <c r="C72" s="27" t="n">
        <v>564454</v>
      </c>
      <c r="D72" s="28" t="n">
        <f aca="false">C72/B72</f>
        <v>0.699590374735851</v>
      </c>
      <c r="E72" s="29" t="s">
        <v>42</v>
      </c>
      <c r="F72" s="29" t="s">
        <v>67</v>
      </c>
      <c r="G72" s="30" t="s">
        <v>120</v>
      </c>
    </row>
    <row r="73" customFormat="false" ht="15" hidden="false" customHeight="true" outlineLevel="0" collapsed="false">
      <c r="A73" s="26" t="s">
        <v>142</v>
      </c>
      <c r="B73" s="27" t="n">
        <v>781560</v>
      </c>
      <c r="C73" s="27" t="n">
        <v>542213</v>
      </c>
      <c r="D73" s="28" t="n">
        <f aca="false">C73/B73</f>
        <v>0.69375735708071</v>
      </c>
      <c r="E73" s="29" t="s">
        <v>42</v>
      </c>
      <c r="F73" s="29" t="s">
        <v>67</v>
      </c>
    </row>
    <row r="74" customFormat="false" ht="15" hidden="false" customHeight="true" outlineLevel="0" collapsed="false">
      <c r="A74" s="26" t="s">
        <v>143</v>
      </c>
      <c r="B74" s="27" t="n">
        <v>785180</v>
      </c>
      <c r="C74" s="27" t="n">
        <v>548381</v>
      </c>
      <c r="D74" s="28" t="n">
        <f aca="false">C74/B74</f>
        <v>0.698414376321353</v>
      </c>
      <c r="E74" s="29" t="s">
        <v>42</v>
      </c>
      <c r="F74" s="29" t="s">
        <v>67</v>
      </c>
    </row>
    <row r="75" customFormat="false" ht="15" hidden="false" customHeight="true" outlineLevel="0" collapsed="false">
      <c r="A75" s="26" t="s">
        <v>144</v>
      </c>
      <c r="B75" s="27" t="n">
        <v>876425</v>
      </c>
      <c r="C75" s="27" t="n">
        <v>619952</v>
      </c>
      <c r="D75" s="28" t="n">
        <f aca="false">C75/B75</f>
        <v>0.707364577687766</v>
      </c>
      <c r="E75" s="29" t="s">
        <v>42</v>
      </c>
      <c r="F75" s="29" t="s">
        <v>67</v>
      </c>
    </row>
    <row r="76" customFormat="false" ht="15" hidden="false" customHeight="true" outlineLevel="0" collapsed="false">
      <c r="A76" s="26" t="s">
        <v>92</v>
      </c>
      <c r="B76" s="27" t="n">
        <v>848051</v>
      </c>
      <c r="C76" s="27" t="n">
        <v>563207</v>
      </c>
      <c r="D76" s="28" t="n">
        <f aca="false">C76/B76</f>
        <v>0.664119256978649</v>
      </c>
      <c r="E76" s="29" t="s">
        <v>44</v>
      </c>
      <c r="F76" s="29" t="s">
        <v>67</v>
      </c>
      <c r="G76" s="30" t="s">
        <v>120</v>
      </c>
    </row>
    <row r="77" customFormat="false" ht="15" hidden="false" customHeight="true" outlineLevel="0" collapsed="false">
      <c r="A77" s="26" t="s">
        <v>93</v>
      </c>
      <c r="B77" s="27" t="n">
        <v>830080</v>
      </c>
      <c r="C77" s="27" t="n">
        <v>611016</v>
      </c>
      <c r="D77" s="28" t="n">
        <f aca="false">C77/B77</f>
        <v>0.736092906707787</v>
      </c>
      <c r="E77" s="29" t="s">
        <v>44</v>
      </c>
      <c r="F77" s="29" t="s">
        <v>67</v>
      </c>
    </row>
    <row r="78" customFormat="false" ht="15" hidden="false" customHeight="true" outlineLevel="0" collapsed="false">
      <c r="A78" s="26" t="s">
        <v>94</v>
      </c>
      <c r="B78" s="27" t="n">
        <v>896434</v>
      </c>
      <c r="C78" s="27" t="n">
        <v>630798</v>
      </c>
      <c r="D78" s="28" t="n">
        <f aca="false">C78/B78</f>
        <v>0.703674782527213</v>
      </c>
      <c r="E78" s="29" t="s">
        <v>44</v>
      </c>
      <c r="F78" s="29" t="s">
        <v>67</v>
      </c>
    </row>
    <row r="79" customFormat="false" ht="15" hidden="false" customHeight="true" outlineLevel="0" collapsed="false">
      <c r="A79" s="26" t="s">
        <v>145</v>
      </c>
      <c r="B79" s="27" t="n">
        <v>813391</v>
      </c>
      <c r="C79" s="27" t="n">
        <v>582024</v>
      </c>
      <c r="D79" s="28" t="n">
        <f aca="false">C79/B79</f>
        <v>0.715552544840059</v>
      </c>
      <c r="E79" s="29" t="s">
        <v>44</v>
      </c>
      <c r="F79" s="29" t="s">
        <v>67</v>
      </c>
    </row>
    <row r="80" customFormat="false" ht="15" hidden="false" customHeight="true" outlineLevel="0" collapsed="false">
      <c r="A80" s="26" t="s">
        <v>146</v>
      </c>
      <c r="B80" s="27" t="n">
        <v>812044</v>
      </c>
      <c r="C80" s="27" t="n">
        <v>552955</v>
      </c>
      <c r="D80" s="28" t="n">
        <f aca="false">C80/B80</f>
        <v>0.680942165695455</v>
      </c>
      <c r="E80" s="29" t="s">
        <v>44</v>
      </c>
      <c r="F80" s="29" t="s">
        <v>67</v>
      </c>
    </row>
    <row r="81" customFormat="false" ht="15" hidden="false" customHeight="true" outlineLevel="0" collapsed="false">
      <c r="A81" s="26" t="s">
        <v>147</v>
      </c>
      <c r="B81" s="27" t="n">
        <v>985104</v>
      </c>
      <c r="C81" s="27" t="n">
        <v>698697</v>
      </c>
      <c r="D81" s="28" t="n">
        <f aca="false">C81/B81</f>
        <v>0.709262169273498</v>
      </c>
      <c r="E81" s="29" t="s">
        <v>46</v>
      </c>
      <c r="F81" s="29" t="s">
        <v>67</v>
      </c>
      <c r="G81" s="30" t="s">
        <v>120</v>
      </c>
    </row>
    <row r="82" customFormat="false" ht="15" hidden="false" customHeight="true" outlineLevel="0" collapsed="false">
      <c r="A82" s="26" t="s">
        <v>148</v>
      </c>
      <c r="B82" s="27" t="n">
        <v>907478</v>
      </c>
      <c r="C82" s="27" t="n">
        <v>647662</v>
      </c>
      <c r="D82" s="28" t="n">
        <f aca="false">C82/B82</f>
        <v>0.713694436669539</v>
      </c>
      <c r="E82" s="29" t="s">
        <v>46</v>
      </c>
      <c r="F82" s="29" t="s">
        <v>67</v>
      </c>
    </row>
    <row r="83" customFormat="false" ht="15" hidden="false" customHeight="true" outlineLevel="0" collapsed="false">
      <c r="A83" s="26" t="s">
        <v>149</v>
      </c>
      <c r="B83" s="27" t="n">
        <v>958783</v>
      </c>
      <c r="C83" s="27" t="n">
        <v>692982</v>
      </c>
      <c r="D83" s="28" t="n">
        <f aca="false">C83/B83</f>
        <v>0.72277251474004</v>
      </c>
      <c r="E83" s="29" t="s">
        <v>46</v>
      </c>
      <c r="F83" s="29" t="s">
        <v>67</v>
      </c>
    </row>
    <row r="84" customFormat="false" ht="15" hidden="false" customHeight="true" outlineLevel="0" collapsed="false">
      <c r="A84" s="26" t="s">
        <v>150</v>
      </c>
      <c r="B84" s="27" t="n">
        <v>848635</v>
      </c>
      <c r="C84" s="27" t="n">
        <v>550659</v>
      </c>
      <c r="D84" s="28" t="n">
        <f aca="false">C84/B84</f>
        <v>0.648876136383722</v>
      </c>
      <c r="E84" s="29" t="s">
        <v>46</v>
      </c>
      <c r="F84" s="29" t="s">
        <v>67</v>
      </c>
    </row>
    <row r="85" customFormat="false" ht="15" hidden="false" customHeight="true" outlineLevel="0" collapsed="false">
      <c r="A85" s="26" t="s">
        <v>151</v>
      </c>
      <c r="B85" s="27" t="n">
        <v>567129</v>
      </c>
      <c r="C85" s="27" t="n">
        <v>385524</v>
      </c>
      <c r="D85" s="28" t="n">
        <f aca="false">C85/B85</f>
        <v>0.679781848574134</v>
      </c>
      <c r="E85" s="29" t="s">
        <v>48</v>
      </c>
      <c r="F85" s="29" t="s">
        <v>67</v>
      </c>
      <c r="G85" s="30" t="s">
        <v>120</v>
      </c>
    </row>
    <row r="86" customFormat="false" ht="15" hidden="false" customHeight="true" outlineLevel="0" collapsed="false">
      <c r="A86" s="26" t="s">
        <v>152</v>
      </c>
      <c r="B86" s="27" t="n">
        <v>554826</v>
      </c>
      <c r="C86" s="27" t="n">
        <v>414787</v>
      </c>
      <c r="D86" s="28" t="n">
        <f aca="false">C86/B86</f>
        <v>0.747598346148162</v>
      </c>
      <c r="E86" s="29" t="s">
        <v>48</v>
      </c>
      <c r="F86" s="29" t="s">
        <v>67</v>
      </c>
    </row>
    <row r="87" customFormat="false" ht="15" hidden="false" customHeight="true" outlineLevel="0" collapsed="false">
      <c r="A87" s="26" t="s">
        <v>153</v>
      </c>
      <c r="B87" s="27" t="n">
        <v>633190</v>
      </c>
      <c r="C87" s="27" t="n">
        <v>433416</v>
      </c>
      <c r="D87" s="28" t="n">
        <f aca="false">C87/B87</f>
        <v>0.684495964876262</v>
      </c>
      <c r="E87" s="29" t="s">
        <v>48</v>
      </c>
      <c r="F87" s="29" t="s">
        <v>67</v>
      </c>
    </row>
    <row r="88" customFormat="false" ht="15" hidden="false" customHeight="true" outlineLevel="0" collapsed="false">
      <c r="A88" s="26" t="s">
        <v>154</v>
      </c>
      <c r="B88" s="27" t="n">
        <v>607170</v>
      </c>
      <c r="C88" s="27" t="n">
        <v>420543</v>
      </c>
      <c r="D88" s="28" t="n">
        <f aca="false">C88/B88</f>
        <v>0.692628094273433</v>
      </c>
      <c r="E88" s="29" t="s">
        <v>48</v>
      </c>
      <c r="F88" s="29" t="s">
        <v>67</v>
      </c>
    </row>
    <row r="89" customFormat="false" ht="15" hidden="false" customHeight="true" outlineLevel="0" collapsed="false">
      <c r="A89" s="26" t="s">
        <v>155</v>
      </c>
      <c r="B89" s="27" t="n">
        <v>637685</v>
      </c>
      <c r="C89" s="27" t="n">
        <v>445730</v>
      </c>
      <c r="D89" s="28" t="n">
        <f aca="false">C89/B89</f>
        <v>0.698981472043407</v>
      </c>
      <c r="E89" s="29" t="s">
        <v>48</v>
      </c>
      <c r="F89" s="29" t="s">
        <v>67</v>
      </c>
    </row>
    <row r="90" customFormat="false" ht="15" hidden="false" customHeight="true" outlineLevel="0" collapsed="false">
      <c r="A90" s="26" t="s">
        <v>156</v>
      </c>
      <c r="B90" s="27" t="n">
        <v>769684</v>
      </c>
      <c r="C90" s="27" t="n">
        <v>525954</v>
      </c>
      <c r="D90" s="28" t="n">
        <f aca="false">C90/B90</f>
        <v>0.683337577499337</v>
      </c>
      <c r="E90" s="29" t="s">
        <v>50</v>
      </c>
      <c r="F90" s="29" t="s">
        <v>67</v>
      </c>
      <c r="G90" s="30" t="s">
        <v>120</v>
      </c>
    </row>
    <row r="91" customFormat="false" ht="15" hidden="false" customHeight="true" outlineLevel="0" collapsed="false">
      <c r="A91" s="26" t="s">
        <v>157</v>
      </c>
      <c r="B91" s="27" t="n">
        <v>817576</v>
      </c>
      <c r="C91" s="27" t="n">
        <v>560015</v>
      </c>
      <c r="D91" s="28" t="n">
        <f aca="false">C91/B91</f>
        <v>0.684969959979256</v>
      </c>
      <c r="E91" s="29" t="s">
        <v>50</v>
      </c>
      <c r="F91" s="29" t="s">
        <v>67</v>
      </c>
    </row>
    <row r="92" customFormat="false" ht="15" hidden="false" customHeight="true" outlineLevel="0" collapsed="false">
      <c r="A92" s="26" t="s">
        <v>158</v>
      </c>
      <c r="B92" s="27" t="n">
        <v>821326</v>
      </c>
      <c r="C92" s="27" t="n">
        <v>615416</v>
      </c>
      <c r="D92" s="28" t="n">
        <f aca="false">C92/B92</f>
        <v>0.749295651178704</v>
      </c>
      <c r="E92" s="29" t="s">
        <v>50</v>
      </c>
      <c r="F92" s="29" t="s">
        <v>67</v>
      </c>
    </row>
    <row r="93" customFormat="false" ht="15" hidden="false" customHeight="true" outlineLevel="0" collapsed="false">
      <c r="A93" s="26" t="s">
        <v>159</v>
      </c>
      <c r="B93" s="27" t="n">
        <v>791414</v>
      </c>
      <c r="C93" s="27" t="n">
        <v>538615</v>
      </c>
      <c r="D93" s="28" t="n">
        <f aca="false">C93/B93</f>
        <v>0.680572999719489</v>
      </c>
      <c r="E93" s="29" t="s">
        <v>50</v>
      </c>
      <c r="F93" s="29" t="s">
        <v>67</v>
      </c>
    </row>
    <row r="94" customFormat="false" ht="15" hidden="false" customHeight="true" outlineLevel="0" collapsed="false">
      <c r="A94" s="26" t="s">
        <v>160</v>
      </c>
      <c r="B94" s="27" t="n">
        <v>935041</v>
      </c>
      <c r="C94" s="27" t="n">
        <v>664206</v>
      </c>
      <c r="D94" s="28" t="n">
        <f aca="false">C94/B94</f>
        <v>0.710349599643224</v>
      </c>
      <c r="E94" s="29" t="s">
        <v>52</v>
      </c>
      <c r="F94" s="29" t="s">
        <v>67</v>
      </c>
      <c r="G94" s="30" t="s">
        <v>120</v>
      </c>
    </row>
    <row r="95" customFormat="false" ht="15" hidden="false" customHeight="true" outlineLevel="0" collapsed="false">
      <c r="A95" s="26" t="s">
        <v>161</v>
      </c>
      <c r="B95" s="27" t="n">
        <v>780838</v>
      </c>
      <c r="C95" s="27" t="n">
        <v>518077</v>
      </c>
      <c r="D95" s="28" t="n">
        <f aca="false">C95/B95</f>
        <v>0.663488457272827</v>
      </c>
      <c r="E95" s="29" t="s">
        <v>52</v>
      </c>
      <c r="F95" s="29" t="s">
        <v>67</v>
      </c>
    </row>
    <row r="96" customFormat="false" ht="15" hidden="false" customHeight="true" outlineLevel="0" collapsed="false">
      <c r="A96" s="26" t="s">
        <v>162</v>
      </c>
      <c r="B96" s="27" t="n">
        <v>784025</v>
      </c>
      <c r="C96" s="27" t="n">
        <v>566302</v>
      </c>
      <c r="D96" s="28" t="n">
        <f aca="false">C96/B96</f>
        <v>0.722300947036128</v>
      </c>
      <c r="E96" s="29" t="s">
        <v>52</v>
      </c>
      <c r="F96" s="29" t="s">
        <v>67</v>
      </c>
    </row>
    <row r="97" customFormat="false" ht="15" hidden="false" customHeight="true" outlineLevel="0" collapsed="false">
      <c r="A97" s="26" t="s">
        <v>163</v>
      </c>
      <c r="B97" s="27" t="n">
        <v>900096</v>
      </c>
      <c r="C97" s="27" t="n">
        <v>631415</v>
      </c>
      <c r="D97" s="28" t="n">
        <f aca="false">C97/B97</f>
        <v>0.701497395833333</v>
      </c>
      <c r="E97" s="29" t="s">
        <v>52</v>
      </c>
      <c r="F97" s="29" t="s">
        <v>67</v>
      </c>
    </row>
    <row r="98" customFormat="false" ht="15" hidden="false" customHeight="true" outlineLevel="0" collapsed="false">
      <c r="A98" s="26" t="s">
        <v>164</v>
      </c>
      <c r="B98" s="27" t="n">
        <v>819705</v>
      </c>
      <c r="C98" s="27" t="n">
        <v>553868</v>
      </c>
      <c r="D98" s="28" t="n">
        <f aca="false">C98/B98</f>
        <v>0.675691864756223</v>
      </c>
      <c r="E98" s="29" t="s">
        <v>53</v>
      </c>
      <c r="F98" s="29" t="s">
        <v>67</v>
      </c>
      <c r="G98" s="30" t="s">
        <v>120</v>
      </c>
    </row>
    <row r="99" customFormat="false" ht="15" hidden="false" customHeight="true" outlineLevel="0" collapsed="false">
      <c r="A99" s="26" t="s">
        <v>165</v>
      </c>
      <c r="B99" s="27" t="n">
        <v>987218</v>
      </c>
      <c r="C99" s="27" t="n">
        <v>681351</v>
      </c>
      <c r="D99" s="28" t="n">
        <f aca="false">C99/B99</f>
        <v>0.690172788583677</v>
      </c>
      <c r="E99" s="29" t="s">
        <v>53</v>
      </c>
      <c r="F99" s="29" t="s">
        <v>67</v>
      </c>
    </row>
    <row r="100" customFormat="false" ht="15" hidden="false" customHeight="true" outlineLevel="0" collapsed="false">
      <c r="A100" s="26" t="s">
        <v>166</v>
      </c>
      <c r="B100" s="27" t="n">
        <v>982720</v>
      </c>
      <c r="C100" s="27" t="n">
        <v>710249</v>
      </c>
      <c r="D100" s="28" t="n">
        <f aca="false">C100/B100</f>
        <v>0.722737911103875</v>
      </c>
      <c r="E100" s="29" t="s">
        <v>53</v>
      </c>
      <c r="F100" s="29" t="s">
        <v>67</v>
      </c>
    </row>
    <row r="101" customFormat="false" ht="15" hidden="false" customHeight="true" outlineLevel="0" collapsed="false">
      <c r="A101" s="26" t="s">
        <v>167</v>
      </c>
      <c r="B101" s="27" t="n">
        <v>810357</v>
      </c>
      <c r="C101" s="27" t="n">
        <v>574532</v>
      </c>
      <c r="D101" s="28" t="n">
        <f aca="false">C101/B101</f>
        <v>0.708986286291104</v>
      </c>
      <c r="E101" s="29" t="s">
        <v>53</v>
      </c>
      <c r="F101" s="29" t="s">
        <v>67</v>
      </c>
    </row>
    <row r="102" customFormat="false" ht="15" hidden="false" customHeight="true" outlineLevel="0" collapsed="false">
      <c r="A102" s="26" t="s">
        <v>66</v>
      </c>
      <c r="B102" s="27" t="n">
        <v>791112</v>
      </c>
      <c r="C102" s="27" t="n">
        <v>551829</v>
      </c>
      <c r="D102" s="28" t="n">
        <f aca="false">C102/B102</f>
        <v>0.697535873555198</v>
      </c>
      <c r="E102" s="29" t="s">
        <v>54</v>
      </c>
      <c r="F102" s="29" t="s">
        <v>67</v>
      </c>
      <c r="G102" s="30" t="s">
        <v>120</v>
      </c>
    </row>
    <row r="103" customFormat="false" ht="15" hidden="false" customHeight="true" outlineLevel="0" collapsed="false">
      <c r="A103" s="26" t="s">
        <v>69</v>
      </c>
      <c r="B103" s="27" t="n">
        <v>727769</v>
      </c>
      <c r="C103" s="27" t="n">
        <v>515148</v>
      </c>
      <c r="D103" s="28" t="n">
        <f aca="false">C103/B103</f>
        <v>0.707845483937898</v>
      </c>
      <c r="E103" s="29" t="s">
        <v>54</v>
      </c>
      <c r="F103" s="29" t="s">
        <v>67</v>
      </c>
    </row>
    <row r="104" customFormat="false" ht="15" hidden="false" customHeight="true" outlineLevel="0" collapsed="false">
      <c r="A104" s="26" t="s">
        <v>70</v>
      </c>
      <c r="B104" s="27" t="n">
        <v>704063</v>
      </c>
      <c r="C104" s="27" t="n">
        <v>483976</v>
      </c>
      <c r="D104" s="28" t="n">
        <f aca="false">C104/B104</f>
        <v>0.687404394209041</v>
      </c>
      <c r="E104" s="29" t="s">
        <v>54</v>
      </c>
      <c r="F104" s="29" t="s">
        <v>67</v>
      </c>
    </row>
    <row r="105" customFormat="false" ht="15" hidden="false" customHeight="true" outlineLevel="0" collapsed="false">
      <c r="A105" s="26" t="s">
        <v>168</v>
      </c>
      <c r="B105" s="27" t="n">
        <v>756304</v>
      </c>
      <c r="C105" s="27" t="n">
        <v>558800</v>
      </c>
      <c r="D105" s="28" t="n">
        <f aca="false">C105/B105</f>
        <v>0.738856332903171</v>
      </c>
      <c r="E105" s="29" t="s">
        <v>54</v>
      </c>
      <c r="F105" s="29" t="s">
        <v>67</v>
      </c>
    </row>
    <row r="106" customFormat="false" ht="15" hidden="false" customHeight="true" outlineLevel="0" collapsed="false">
      <c r="A106" s="26" t="s">
        <v>169</v>
      </c>
      <c r="B106" s="27" t="n">
        <v>820752</v>
      </c>
      <c r="C106" s="27" t="n">
        <v>550247</v>
      </c>
      <c r="D106" s="28" t="n">
        <f aca="false">C106/B106</f>
        <v>0.670418104372575</v>
      </c>
      <c r="E106" s="29" t="s">
        <v>54</v>
      </c>
      <c r="F106" s="29" t="s">
        <v>67</v>
      </c>
    </row>
    <row r="107" customFormat="false" ht="15" hidden="false" customHeight="true" outlineLevel="0" collapsed="false">
      <c r="A107" s="26" t="s">
        <v>170</v>
      </c>
      <c r="B107" s="27" t="n">
        <v>992443</v>
      </c>
      <c r="C107" s="27" t="n">
        <v>692089</v>
      </c>
      <c r="D107" s="28" t="n">
        <f aca="false">C107/B107</f>
        <v>0.697358941521075</v>
      </c>
      <c r="E107" s="29" t="s">
        <v>55</v>
      </c>
      <c r="F107" s="29" t="s">
        <v>67</v>
      </c>
      <c r="G107" s="30" t="s">
        <v>120</v>
      </c>
    </row>
    <row r="108" customFormat="false" ht="15" hidden="false" customHeight="true" outlineLevel="0" collapsed="false">
      <c r="A108" s="26" t="s">
        <v>171</v>
      </c>
      <c r="B108" s="27" t="n">
        <v>1019647</v>
      </c>
      <c r="C108" s="27" t="n">
        <v>716150</v>
      </c>
      <c r="D108" s="28" t="n">
        <f aca="false">C108/B108</f>
        <v>0.702350911639028</v>
      </c>
      <c r="E108" s="29" t="s">
        <v>55</v>
      </c>
      <c r="F108" s="29" t="s">
        <v>67</v>
      </c>
    </row>
    <row r="109" customFormat="false" ht="15" hidden="false" customHeight="true" outlineLevel="0" collapsed="false">
      <c r="A109" s="26" t="s">
        <v>172</v>
      </c>
      <c r="B109" s="27" t="n">
        <v>975315</v>
      </c>
      <c r="C109" s="27" t="n">
        <v>670354</v>
      </c>
      <c r="D109" s="28" t="n">
        <f aca="false">C109/B109</f>
        <v>0.687320506708089</v>
      </c>
      <c r="E109" s="29" t="s">
        <v>55</v>
      </c>
      <c r="F109" s="29" t="s">
        <v>67</v>
      </c>
    </row>
    <row r="110" customFormat="false" ht="15" hidden="false" customHeight="true" outlineLevel="0" collapsed="false">
      <c r="A110" s="26" t="s">
        <v>173</v>
      </c>
      <c r="B110" s="27" t="n">
        <v>1012595</v>
      </c>
      <c r="C110" s="27" t="n">
        <v>721407</v>
      </c>
      <c r="D110" s="28" t="n">
        <f aca="false">C110/B110</f>
        <v>0.712433895091325</v>
      </c>
      <c r="E110" s="29" t="s">
        <v>55</v>
      </c>
      <c r="F110" s="29" t="s">
        <v>67</v>
      </c>
    </row>
    <row r="111" customFormat="false" ht="15" hidden="false" customHeight="true" outlineLevel="0" collapsed="false">
      <c r="A111" s="31" t="s">
        <v>76</v>
      </c>
      <c r="B111" s="7" t="n">
        <v>830795</v>
      </c>
      <c r="C111" s="7" t="n">
        <v>499758</v>
      </c>
      <c r="D111" s="8" t="n">
        <f aca="false">C111/B111</f>
        <v>0.601541896617096</v>
      </c>
      <c r="E111" s="6" t="s">
        <v>57</v>
      </c>
      <c r="F111" s="6" t="s">
        <v>12</v>
      </c>
      <c r="G111" s="9" t="s">
        <v>174</v>
      </c>
    </row>
    <row r="112" customFormat="false" ht="15" hidden="false" customHeight="true" outlineLevel="0" collapsed="false">
      <c r="A112" s="31" t="s">
        <v>77</v>
      </c>
      <c r="B112" s="7" t="n">
        <v>852792</v>
      </c>
      <c r="C112" s="7" t="n">
        <v>505647</v>
      </c>
      <c r="D112" s="8" t="n">
        <f aca="false">C112/B112</f>
        <v>0.592931218866969</v>
      </c>
      <c r="E112" s="6" t="s">
        <v>57</v>
      </c>
      <c r="F112" s="6" t="s">
        <v>12</v>
      </c>
    </row>
    <row r="113" customFormat="false" ht="15" hidden="false" customHeight="true" outlineLevel="0" collapsed="false">
      <c r="A113" s="31" t="s">
        <v>78</v>
      </c>
      <c r="B113" s="7" t="n">
        <v>816413</v>
      </c>
      <c r="C113" s="7" t="n">
        <v>494595</v>
      </c>
      <c r="D113" s="8" t="n">
        <f aca="false">C113/B113</f>
        <v>0.605814704077471</v>
      </c>
      <c r="E113" s="6" t="s">
        <v>57</v>
      </c>
      <c r="F113" s="6" t="s">
        <v>12</v>
      </c>
    </row>
    <row r="114" customFormat="false" ht="15" hidden="false" customHeight="true" outlineLevel="0" collapsed="false">
      <c r="A114" s="31" t="s">
        <v>79</v>
      </c>
      <c r="B114" s="7" t="n">
        <v>400000</v>
      </c>
      <c r="C114" s="7" t="n">
        <v>300000</v>
      </c>
      <c r="D114" s="8" t="n">
        <f aca="false">C114/B114</f>
        <v>0.75</v>
      </c>
      <c r="E114" s="6" t="s">
        <v>57</v>
      </c>
      <c r="F114" s="6" t="s">
        <v>12</v>
      </c>
      <c r="G114" s="9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0"/>
    <col collapsed="false" customWidth="true" hidden="false" outlineLevel="0" max="5" min="4" style="1" width="18"/>
    <col collapsed="false" customWidth="true" hidden="false" outlineLevel="0" max="6" min="6" style="1" width="45"/>
  </cols>
  <sheetData>
    <row r="1" customFormat="false" ht="30" hidden="false" customHeight="true" outlineLevel="0" collapsed="false">
      <c r="A1" s="32" t="s">
        <v>176</v>
      </c>
      <c r="B1" s="32"/>
      <c r="C1" s="32"/>
      <c r="D1" s="32"/>
      <c r="E1" s="32"/>
      <c r="F1" s="32"/>
    </row>
    <row r="2" customFormat="false" ht="15.75" hidden="false" customHeight="true" outlineLevel="0" collapsed="false">
      <c r="A2" s="3" t="s">
        <v>177</v>
      </c>
      <c r="B2" s="3"/>
      <c r="C2" s="3"/>
      <c r="D2" s="3"/>
      <c r="E2" s="3"/>
      <c r="F2" s="3"/>
    </row>
    <row r="3" customFormat="false" ht="21.75" hidden="false" customHeight="true" outlineLevel="0" collapsed="false">
      <c r="A3" s="5" t="s">
        <v>178</v>
      </c>
      <c r="B3" s="5" t="s">
        <v>179</v>
      </c>
      <c r="C3" s="5" t="s">
        <v>180</v>
      </c>
      <c r="D3" s="5" t="s">
        <v>181</v>
      </c>
      <c r="E3" s="5" t="s">
        <v>182</v>
      </c>
      <c r="F3" s="5" t="s">
        <v>8</v>
      </c>
    </row>
    <row r="4" customFormat="false" ht="18" hidden="false" customHeight="true" outlineLevel="0" collapsed="false">
      <c r="A4" s="17" t="s">
        <v>10</v>
      </c>
      <c r="B4" s="33" t="n">
        <v>1790000</v>
      </c>
      <c r="C4" s="33" t="n">
        <v>150000</v>
      </c>
      <c r="D4" s="17" t="s">
        <v>183</v>
      </c>
      <c r="E4" s="17" t="s">
        <v>184</v>
      </c>
      <c r="F4" s="34" t="s">
        <v>185</v>
      </c>
    </row>
    <row r="5" customFormat="false" ht="18" hidden="false" customHeight="true" outlineLevel="0" collapsed="false">
      <c r="A5" s="35" t="s">
        <v>13</v>
      </c>
      <c r="B5" s="36" t="n">
        <v>1393000</v>
      </c>
      <c r="C5" s="36" t="n">
        <v>120000</v>
      </c>
      <c r="D5" s="35" t="s">
        <v>186</v>
      </c>
      <c r="E5" s="35" t="s">
        <v>184</v>
      </c>
      <c r="F5" s="37" t="s">
        <v>14</v>
      </c>
    </row>
    <row r="6" customFormat="false" ht="18" hidden="false" customHeight="true" outlineLevel="0" collapsed="false">
      <c r="A6" s="17" t="s">
        <v>15</v>
      </c>
      <c r="B6" s="33" t="n">
        <v>3600000</v>
      </c>
      <c r="C6" s="33" t="n">
        <v>210000</v>
      </c>
      <c r="D6" s="17" t="s">
        <v>187</v>
      </c>
      <c r="E6" s="17" t="s">
        <v>184</v>
      </c>
      <c r="F6" s="34"/>
    </row>
    <row r="7" customFormat="false" ht="18" hidden="false" customHeight="true" outlineLevel="0" collapsed="false">
      <c r="A7" s="35" t="s">
        <v>17</v>
      </c>
      <c r="B7" s="36" t="n">
        <v>3862000</v>
      </c>
      <c r="C7" s="36" t="n">
        <v>220000</v>
      </c>
      <c r="D7" s="35" t="s">
        <v>188</v>
      </c>
      <c r="E7" s="35" t="s">
        <v>184</v>
      </c>
      <c r="F7" s="37"/>
    </row>
    <row r="8" customFormat="false" ht="18" hidden="false" customHeight="true" outlineLevel="0" collapsed="false">
      <c r="A8" s="17" t="s">
        <v>18</v>
      </c>
      <c r="B8" s="33" t="n">
        <v>4950000</v>
      </c>
      <c r="C8" s="33" t="n">
        <v>250000</v>
      </c>
      <c r="D8" s="17" t="s">
        <v>189</v>
      </c>
      <c r="E8" s="17" t="s">
        <v>184</v>
      </c>
      <c r="F8" s="34" t="s">
        <v>190</v>
      </c>
    </row>
    <row r="9" customFormat="false" ht="18" hidden="false" customHeight="true" outlineLevel="0" collapsed="false">
      <c r="A9" s="35" t="s">
        <v>20</v>
      </c>
      <c r="B9" s="36" t="n">
        <v>6775000</v>
      </c>
      <c r="C9" s="36" t="n">
        <v>320000</v>
      </c>
      <c r="D9" s="35" t="s">
        <v>191</v>
      </c>
      <c r="E9" s="35" t="s">
        <v>184</v>
      </c>
      <c r="F9" s="37" t="s">
        <v>21</v>
      </c>
    </row>
    <row r="10" customFormat="false" ht="18" hidden="false" customHeight="true" outlineLevel="0" collapsed="false">
      <c r="A10" s="17" t="s">
        <v>22</v>
      </c>
      <c r="B10" s="33" t="n">
        <v>3775000</v>
      </c>
      <c r="C10" s="33" t="n">
        <v>230000</v>
      </c>
      <c r="D10" s="17" t="s">
        <v>192</v>
      </c>
      <c r="E10" s="17" t="s">
        <v>184</v>
      </c>
      <c r="F10" s="34" t="s">
        <v>193</v>
      </c>
    </row>
    <row r="11" customFormat="false" ht="18" hidden="false" customHeight="true" outlineLevel="0" collapsed="false">
      <c r="A11" s="35" t="s">
        <v>24</v>
      </c>
      <c r="B11" s="36" t="n">
        <v>3443000</v>
      </c>
      <c r="C11" s="36" t="n">
        <v>220000</v>
      </c>
      <c r="D11" s="35" t="s">
        <v>194</v>
      </c>
      <c r="E11" s="35" t="s">
        <v>184</v>
      </c>
      <c r="F11" s="37"/>
    </row>
    <row r="12" customFormat="false" ht="18" hidden="false" customHeight="true" outlineLevel="0" collapsed="false">
      <c r="A12" s="17" t="s">
        <v>25</v>
      </c>
      <c r="B12" s="33" t="n">
        <v>3770000</v>
      </c>
      <c r="C12" s="33" t="n">
        <v>230000</v>
      </c>
      <c r="D12" s="17" t="s">
        <v>195</v>
      </c>
      <c r="E12" s="17" t="s">
        <v>184</v>
      </c>
      <c r="F12" s="34"/>
    </row>
    <row r="13" customFormat="false" ht="18" hidden="false" customHeight="true" outlineLevel="0" collapsed="false">
      <c r="A13" s="35" t="s">
        <v>26</v>
      </c>
      <c r="B13" s="36" t="n">
        <v>3770000</v>
      </c>
      <c r="C13" s="36" t="n">
        <v>220000</v>
      </c>
      <c r="D13" s="35" t="s">
        <v>196</v>
      </c>
      <c r="E13" s="35" t="s">
        <v>184</v>
      </c>
      <c r="F13" s="37"/>
    </row>
    <row r="14" customFormat="false" ht="18" hidden="false" customHeight="true" outlineLevel="0" collapsed="false">
      <c r="A14" s="17" t="s">
        <v>28</v>
      </c>
      <c r="B14" s="33" t="n">
        <v>3200000</v>
      </c>
      <c r="C14" s="33" t="n">
        <v>200000</v>
      </c>
      <c r="D14" s="17" t="s">
        <v>197</v>
      </c>
      <c r="E14" s="17" t="s">
        <v>184</v>
      </c>
      <c r="F14" s="34"/>
    </row>
    <row r="15" customFormat="false" ht="18" hidden="false" customHeight="true" outlineLevel="0" collapsed="false">
      <c r="A15" s="35" t="s">
        <v>30</v>
      </c>
      <c r="B15" s="36" t="n">
        <v>1290000</v>
      </c>
      <c r="C15" s="36" t="n">
        <v>100000</v>
      </c>
      <c r="D15" s="35" t="s">
        <v>198</v>
      </c>
      <c r="E15" s="35" t="s">
        <v>184</v>
      </c>
      <c r="F15" s="37" t="s">
        <v>199</v>
      </c>
    </row>
    <row r="16" customFormat="false" ht="18" hidden="false" customHeight="true" outlineLevel="0" collapsed="false">
      <c r="A16" s="17" t="s">
        <v>32</v>
      </c>
      <c r="B16" s="33" t="n">
        <v>2740000</v>
      </c>
      <c r="C16" s="33" t="n">
        <v>180000</v>
      </c>
      <c r="D16" s="17" t="s">
        <v>200</v>
      </c>
      <c r="E16" s="17" t="s">
        <v>184</v>
      </c>
      <c r="F16" s="34" t="s">
        <v>201</v>
      </c>
    </row>
    <row r="17" customFormat="false" ht="18" hidden="false" customHeight="true" outlineLevel="0" collapsed="false">
      <c r="A17" s="38" t="s">
        <v>34</v>
      </c>
      <c r="B17" s="39" t="n">
        <v>2870000</v>
      </c>
      <c r="C17" s="39" t="n">
        <v>200000</v>
      </c>
      <c r="D17" s="38" t="s">
        <v>202</v>
      </c>
      <c r="E17" s="38" t="s">
        <v>203</v>
      </c>
      <c r="F17" s="40" t="s">
        <v>204</v>
      </c>
    </row>
    <row r="18" customFormat="false" ht="18" hidden="false" customHeight="true" outlineLevel="0" collapsed="false">
      <c r="A18" s="10" t="s">
        <v>36</v>
      </c>
      <c r="B18" s="11" t="n">
        <v>2600000</v>
      </c>
      <c r="C18" s="11" t="n">
        <v>250000</v>
      </c>
      <c r="D18" s="10" t="s">
        <v>205</v>
      </c>
      <c r="E18" s="10" t="s">
        <v>203</v>
      </c>
      <c r="F18" s="13" t="s">
        <v>206</v>
      </c>
    </row>
    <row r="19" customFormat="false" ht="18" hidden="false" customHeight="true" outlineLevel="0" collapsed="false">
      <c r="A19" s="38" t="s">
        <v>38</v>
      </c>
      <c r="B19" s="39" t="n">
        <v>3380000</v>
      </c>
      <c r="C19" s="39" t="n">
        <v>325000</v>
      </c>
      <c r="D19" s="38" t="s">
        <v>207</v>
      </c>
      <c r="E19" s="38" t="s">
        <v>203</v>
      </c>
      <c r="F19" s="40" t="s">
        <v>208</v>
      </c>
    </row>
    <row r="20" customFormat="false" ht="18" hidden="false" customHeight="true" outlineLevel="0" collapsed="false">
      <c r="A20" s="10" t="s">
        <v>40</v>
      </c>
      <c r="B20" s="11" t="n">
        <v>2700000</v>
      </c>
      <c r="C20" s="11" t="n">
        <v>300000</v>
      </c>
      <c r="D20" s="10" t="s">
        <v>209</v>
      </c>
      <c r="E20" s="10" t="s">
        <v>203</v>
      </c>
      <c r="F20" s="13" t="s">
        <v>210</v>
      </c>
    </row>
    <row r="21" customFormat="false" ht="18" hidden="false" customHeight="true" outlineLevel="0" collapsed="false">
      <c r="A21" s="38" t="s">
        <v>42</v>
      </c>
      <c r="B21" s="39" t="n">
        <v>3250000</v>
      </c>
      <c r="C21" s="39" t="n">
        <v>325000</v>
      </c>
      <c r="D21" s="38" t="s">
        <v>211</v>
      </c>
      <c r="E21" s="38" t="s">
        <v>203</v>
      </c>
      <c r="F21" s="40" t="s">
        <v>204</v>
      </c>
    </row>
    <row r="22" customFormat="false" ht="18" hidden="false" customHeight="true" outlineLevel="0" collapsed="false">
      <c r="A22" s="10" t="s">
        <v>44</v>
      </c>
      <c r="B22" s="11" t="n">
        <v>4200000</v>
      </c>
      <c r="C22" s="11" t="n">
        <v>535000</v>
      </c>
      <c r="D22" s="10" t="s">
        <v>212</v>
      </c>
      <c r="E22" s="10" t="s">
        <v>203</v>
      </c>
      <c r="F22" s="13" t="s">
        <v>213</v>
      </c>
    </row>
    <row r="23" customFormat="false" ht="18" hidden="false" customHeight="true" outlineLevel="0" collapsed="false">
      <c r="A23" s="38" t="s">
        <v>46</v>
      </c>
      <c r="B23" s="39" t="n">
        <v>3700000</v>
      </c>
      <c r="C23" s="39" t="n">
        <v>450000</v>
      </c>
      <c r="D23" s="38" t="s">
        <v>214</v>
      </c>
      <c r="E23" s="38" t="s">
        <v>203</v>
      </c>
      <c r="F23" s="40" t="s">
        <v>204</v>
      </c>
    </row>
    <row r="24" customFormat="false" ht="18" hidden="false" customHeight="true" outlineLevel="0" collapsed="false">
      <c r="A24" s="10" t="s">
        <v>48</v>
      </c>
      <c r="B24" s="11" t="n">
        <v>3000000</v>
      </c>
      <c r="C24" s="11" t="n">
        <v>350000</v>
      </c>
      <c r="D24" s="10" t="s">
        <v>215</v>
      </c>
      <c r="E24" s="10" t="s">
        <v>203</v>
      </c>
      <c r="F24" s="13" t="s">
        <v>204</v>
      </c>
    </row>
    <row r="25" customFormat="false" ht="18" hidden="false" customHeight="true" outlineLevel="0" collapsed="false">
      <c r="A25" s="38" t="s">
        <v>50</v>
      </c>
      <c r="B25" s="39" t="n">
        <v>3200000</v>
      </c>
      <c r="C25" s="39" t="n">
        <v>280000</v>
      </c>
      <c r="D25" s="38" t="s">
        <v>216</v>
      </c>
      <c r="E25" s="38" t="s">
        <v>203</v>
      </c>
      <c r="F25" s="40" t="s">
        <v>217</v>
      </c>
    </row>
    <row r="26" customFormat="false" ht="18" hidden="false" customHeight="true" outlineLevel="0" collapsed="false">
      <c r="A26" s="41" t="s">
        <v>52</v>
      </c>
      <c r="B26" s="42" t="n">
        <v>3400000</v>
      </c>
      <c r="C26" s="43" t="n">
        <v>150000</v>
      </c>
      <c r="D26" s="41" t="s">
        <v>218</v>
      </c>
      <c r="E26" s="41" t="s">
        <v>12</v>
      </c>
      <c r="F26" s="44" t="s">
        <v>219</v>
      </c>
    </row>
    <row r="27" customFormat="false" ht="18" hidden="false" customHeight="true" outlineLevel="0" collapsed="false">
      <c r="A27" s="45" t="s">
        <v>53</v>
      </c>
      <c r="B27" s="46" t="n">
        <v>3600000</v>
      </c>
      <c r="C27" s="47" t="n">
        <v>165000</v>
      </c>
      <c r="D27" s="45" t="s">
        <v>220</v>
      </c>
      <c r="E27" s="45" t="s">
        <v>12</v>
      </c>
      <c r="F27" s="48" t="s">
        <v>219</v>
      </c>
    </row>
    <row r="28" customFormat="false" ht="18" hidden="false" customHeight="true" outlineLevel="0" collapsed="false">
      <c r="A28" s="41" t="s">
        <v>54</v>
      </c>
      <c r="B28" s="42" t="n">
        <v>3800000</v>
      </c>
      <c r="C28" s="43" t="n">
        <v>180000</v>
      </c>
      <c r="D28" s="41" t="s">
        <v>221</v>
      </c>
      <c r="E28" s="41" t="s">
        <v>12</v>
      </c>
      <c r="F28" s="44" t="s">
        <v>219</v>
      </c>
    </row>
    <row r="29" customFormat="false" ht="18" hidden="false" customHeight="true" outlineLevel="0" collapsed="false">
      <c r="A29" s="45" t="s">
        <v>55</v>
      </c>
      <c r="B29" s="46" t="n">
        <v>4000000</v>
      </c>
      <c r="C29" s="47" t="n">
        <v>200000</v>
      </c>
      <c r="D29" s="45" t="s">
        <v>222</v>
      </c>
      <c r="E29" s="45" t="s">
        <v>12</v>
      </c>
      <c r="F29" s="48" t="s">
        <v>219</v>
      </c>
    </row>
    <row r="30" customFormat="false" ht="15" hidden="false" customHeight="true" outlineLevel="0" collapsed="false">
      <c r="A30" s="41" t="s">
        <v>57</v>
      </c>
      <c r="B30" s="42" t="n">
        <v>2900000</v>
      </c>
      <c r="C30" s="43" t="n">
        <v>160000</v>
      </c>
      <c r="D30" s="41" t="s">
        <v>223</v>
      </c>
      <c r="E30" s="41" t="s">
        <v>224</v>
      </c>
      <c r="F30" s="44" t="s">
        <v>225</v>
      </c>
    </row>
    <row r="31" customFormat="false" ht="21.75" hidden="false" customHeight="true" outlineLevel="0" collapsed="false"/>
    <row r="32" customFormat="false" ht="21.75" hidden="false" customHeight="true" outlineLevel="0" collapsed="false">
      <c r="A32" s="17" t="s">
        <v>226</v>
      </c>
      <c r="B32" s="17"/>
      <c r="C32" s="18" t="n">
        <f aca="false">SUMIF($E$4:$E$30,"Est*",$C$4:$C$30)</f>
        <v>2650000</v>
      </c>
      <c r="D32" s="17"/>
      <c r="E32" s="17"/>
      <c r="F32" s="17"/>
    </row>
    <row r="33" customFormat="false" ht="21.75" hidden="false" customHeight="true" outlineLevel="0" collapsed="false">
      <c r="A33" s="10" t="s">
        <v>227</v>
      </c>
      <c r="B33" s="10"/>
      <c r="C33" s="49" t="n">
        <f aca="false">SUMIF($E$4:$E$30,"Paid*",$C$4:$C$30)</f>
        <v>3015000</v>
      </c>
      <c r="D33" s="10"/>
      <c r="E33" s="10"/>
      <c r="F33" s="10"/>
    </row>
    <row r="34" customFormat="false" ht="21.75" hidden="false" customHeight="true" outlineLevel="0" collapsed="false">
      <c r="A34" s="10" t="s">
        <v>228</v>
      </c>
      <c r="B34" s="10"/>
      <c r="C34" s="49" t="n">
        <f aca="false">SUMIF($E$4:$E$30,"Actual",$C$4:$C$30)</f>
        <v>695000</v>
      </c>
      <c r="D34" s="10"/>
      <c r="E34" s="10"/>
      <c r="F34" s="10"/>
    </row>
    <row r="35" customFormat="false" ht="15" hidden="false" customHeight="true" outlineLevel="0" collapsed="false">
      <c r="A35" s="50" t="s">
        <v>229</v>
      </c>
      <c r="B35" s="50"/>
      <c r="C35" s="51" t="n">
        <f aca="false">SUMIF($E$4:$E$30,"Upcoming",$C$4:$C$30)</f>
        <v>160000</v>
      </c>
      <c r="D35" s="50"/>
      <c r="E35" s="50"/>
      <c r="F35" s="50"/>
    </row>
    <row r="36" customFormat="false" ht="15" hidden="false" customHeight="true" outlineLevel="0" collapsed="false">
      <c r="A36" s="5" t="s">
        <v>61</v>
      </c>
      <c r="B36" s="5"/>
      <c r="C36" s="23" t="n">
        <f aca="false">SUM($C$4:$C$30)</f>
        <v>6520000</v>
      </c>
      <c r="D36" s="5"/>
      <c r="E36" s="5"/>
      <c r="F36" s="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2026-05-03T19:31:48Z</dcterms:created>
  <dc:creator>openpyxl</dc:creator>
  <dc:description/>
  <dc:language>en-US</dc:language>
  <cp:lastModifiedBy>jan vaicos</cp:lastModifiedBy>
  <dcterms:modified xsi:type="dcterms:W3CDTF">2026-07-17T21:03:44Z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